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1 Lun-Mié" sheetId="1" state="visible" r:id="rId3"/>
    <sheet name="Detalle por sesión" sheetId="2" state="visible" r:id="rId4"/>
    <sheet name="Entregas y certificaciones" sheetId="3" state="visible" r:id="rId5"/>
    <sheet name="Pendientes de construir" sheetId="4" state="visible" r:id="rId6"/>
    <sheet name="Índice" sheetId="5" state="visible" r:id="rId7"/>
    <sheet name="Instrucciones" sheetId="6" state="visible" r:id="rId8"/>
    <sheet name="Feriados y Recesos" sheetId="7" state="visible" r:id="rId9"/>
    <sheet name="Resumen Periodos" sheetId="8" state="visible" r:id="rId10"/>
    <sheet name="S1 Mar-Jue" sheetId="9" state="visible" r:id="rId11"/>
    <sheet name="S2 Lun-Mié" sheetId="10" state="visible" r:id="rId12"/>
    <sheet name="S2 Mar-Jue" sheetId="11" state="visible" r:id="rId13"/>
    <sheet name="S1-Módulo 1" sheetId="12" state="visible" r:id="rId14"/>
    <sheet name="S1-Módulo 2" sheetId="13" state="visible" r:id="rId15"/>
    <sheet name="S1-Módulo 3" sheetId="14" state="visible" r:id="rId16"/>
    <sheet name="S1-Módulo 4" sheetId="15" state="visible" r:id="rId17"/>
    <sheet name="S1-Módulo A" sheetId="16" state="visible" r:id="rId18"/>
    <sheet name="S1-Módulo B" sheetId="17" state="visible" r:id="rId19"/>
    <sheet name="S2-Módulo 1" sheetId="18" state="visible" r:id="rId20"/>
    <sheet name="S2-Módulo 2" sheetId="19" state="visible" r:id="rId21"/>
    <sheet name="S2-Módulo 3" sheetId="20" state="visible" r:id="rId22"/>
    <sheet name="S2-Módulo 4" sheetId="21" state="visible" r:id="rId23"/>
    <sheet name="S2-Módulo C" sheetId="22" state="visible" r:id="rId24"/>
    <sheet name="S2-Módulo D" sheetId="23" state="visible" r:id="rId25"/>
    <sheet name="V-Módulo 1" sheetId="24" state="visible" r:id="rId26"/>
    <sheet name="V-Módulo 2" sheetId="25" state="visible" r:id="rId27"/>
    <sheet name="V-Módulo 3" sheetId="26" state="visible" r:id="rId28"/>
    <sheet name="V-En línea" sheetId="27" state="visible" r:id="rId29"/>
    <sheet name="V-Inglés E" sheetId="28" state="visible" r:id="rId30"/>
    <sheet name="V-Inglés F" sheetId="29" state="visible" r:id="rId31"/>
    <sheet name="Control interno" sheetId="30" state="visible" r:id="rId32"/>
  </sheets>
  <definedNames>
    <definedName function="false" hidden="true" localSheetId="1" name="_xlnm._FilterDatabase" vbProcedure="false">'Detalle por sesión'!$A$1:$I$35</definedName>
    <definedName function="false" hidden="true" localSheetId="2" name="_xlnm._FilterDatabase" vbProcedure="false">'Entregas y certificaciones'!$A$1:$E$21</definedName>
    <definedName function="false" hidden="true" localSheetId="3" name="_xlnm._FilterDatabase" vbProcedure="false">'Pendientes de construir'!$A$1:$D$6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<sst xmlns="http://schemas.openxmlformats.org/spreadsheetml/2006/main" count="3092" uniqueCount="686">
  <si>
    <t xml:space="preserve">← Volver al índice</t>
  </si>
  <si>
    <t xml:space="preserve">Primer Semestre Galápagos 2026-2027 · Materias de semestre completo (Lun-Mié)</t>
  </si>
  <si>
    <t xml:space="preserve">RESUMEN DEL MÓDULO</t>
  </si>
  <si>
    <t xml:space="preserve">Materias de semestre completo · dos sesiones semanales de 1.5 h · 17-ago-2026 al 11-dic-2026.</t>
  </si>
  <si>
    <t xml:space="preserve">Sesiones de clase</t>
  </si>
  <si>
    <t xml:space="preserve">Evaluación docente por parte de estudiantes (202610-G4 (fin de semestre)): del 07-dic-2026 al 10-dic-2026 — cierra antes del último día de clase.</t>
  </si>
  <si>
    <t xml:space="preserve">Sesiones asincrónicas</t>
  </si>
  <si>
    <t xml:space="preserve">Días sin clase (feriado / receso)</t>
  </si>
  <si>
    <t xml:space="preserve">Semanas</t>
  </si>
  <si>
    <t xml:space="preserve">Evaluación docente</t>
  </si>
  <si>
    <t xml:space="preserve">Cronograma ADM 2003 Análisis de Datos · versión Python con apoyo de IA (cronograma v2). Semana 11 comprimida en una sesión por el feriado del 2-nov.</t>
  </si>
  <si>
    <t xml:space="preserve">Semana</t>
  </si>
  <si>
    <t xml:space="preserve">N° Sesión</t>
  </si>
  <si>
    <t xml:space="preserve">Fecha</t>
  </si>
  <si>
    <t xml:space="preserve">Día</t>
  </si>
  <si>
    <t xml:space="preserve">Estado</t>
  </si>
  <si>
    <t xml:space="preserve">Tema</t>
  </si>
  <si>
    <t xml:space="preserve">Entregas</t>
  </si>
  <si>
    <t xml:space="preserve">Observación</t>
  </si>
  <si>
    <t xml:space="preserve">17-ago-2026</t>
  </si>
  <si>
    <t xml:space="preserve">Lunes</t>
  </si>
  <si>
    <t xml:space="preserve">Clase</t>
  </si>
  <si>
    <t xml:space="preserve">S1 · Por qué fracasan los análisis</t>
  </si>
  <si>
    <t xml:space="preserve">Presentación del curso y del proyecto integrador. Firma del contrato de grupo.</t>
  </si>
  <si>
    <t xml:space="preserve">19-ago-2026</t>
  </si>
  <si>
    <t xml:space="preserve">Miércoles</t>
  </si>
  <si>
    <t xml:space="preserve">S1 · Colab y el primer cuaderno</t>
  </si>
  <si>
    <t xml:space="preserve">Contrato de grupo firmado. DataCamp: Understanding Data Science.</t>
  </si>
  <si>
    <t xml:space="preserve">24-ago-2026</t>
  </si>
  <si>
    <t xml:space="preserve">S2 · Unidad de análisis, métrica, comparación y decisión</t>
  </si>
  <si>
    <t xml:space="preserve">26-ago-2026</t>
  </si>
  <si>
    <t xml:space="preserve">S2 · Carga y primer contacto con la base del curso</t>
  </si>
  <si>
    <t xml:space="preserve">Deber 1: ficha de análisis de una página, sin código.</t>
  </si>
  <si>
    <t xml:space="preserve">31-ago-2026</t>
  </si>
  <si>
    <t xml:space="preserve">S3 · La trampa del promedio</t>
  </si>
  <si>
    <t xml:space="preserve">02-sep-2026</t>
  </si>
  <si>
    <t xml:space="preserve">S3 · Perfilado descriptivo contra reloj</t>
  </si>
  <si>
    <t xml:space="preserve">DataCamp: Introduction to Python.</t>
  </si>
  <si>
    <t xml:space="preserve">07-sep-2026</t>
  </si>
  <si>
    <t xml:space="preserve">S4 · Granularidad, tipos de dato y calidad</t>
  </si>
  <si>
    <t xml:space="preserve">09-sep-2026</t>
  </si>
  <si>
    <t xml:space="preserve">S4 · Inventario de problemas de calidad</t>
  </si>
  <si>
    <t xml:space="preserve">Deber 2: bitácora de limpieza. Propuesta de proyecto final.</t>
  </si>
  <si>
    <t xml:space="preserve">14-sep-2026</t>
  </si>
  <si>
    <t xml:space="preserve">S5 · Dividir, aplicar y recombinar. Uniones y cardinalidad</t>
  </si>
  <si>
    <t xml:space="preserve">16-sep-2026</t>
  </si>
  <si>
    <t xml:space="preserve">S5 · Torneo de preguntas y tabla de indicadores</t>
  </si>
  <si>
    <t xml:space="preserve">Deber 3: tabla de indicadores reproducible. DataCamp: Data Manipulation with pandas y Joining Data with pandas.</t>
  </si>
  <si>
    <t xml:space="preserve">21-sep-2026</t>
  </si>
  <si>
    <t xml:space="preserve">S6 · Explorar, verificar y comunicar</t>
  </si>
  <si>
    <t xml:space="preserve">Lectura previa: Storytelling con datos (Knaflic).</t>
  </si>
  <si>
    <t xml:space="preserve">23-sep-2026</t>
  </si>
  <si>
    <t xml:space="preserve">S6 · Clínica de rediseño</t>
  </si>
  <si>
    <t xml:space="preserve">Deber 4: tres gráficos anotados del negocio. DataCamp: Introduction to Data Visualization with Matplotlib.</t>
  </si>
  <si>
    <t xml:space="preserve">28-sep-2026</t>
  </si>
  <si>
    <t xml:space="preserve">S7 · Del gráfico al tablero</t>
  </si>
  <si>
    <t xml:space="preserve">30-sep-2026</t>
  </si>
  <si>
    <t xml:space="preserve">S7 · Construcción del tablero del proyecto</t>
  </si>
  <si>
    <t xml:space="preserve">Tablero interactivo entregado dentro del cuaderno.</t>
  </si>
  <si>
    <t xml:space="preserve">05-oct-2026</t>
  </si>
  <si>
    <t xml:space="preserve">S8 · Quién es un cliente valioso</t>
  </si>
  <si>
    <t xml:space="preserve">07-oct-2026</t>
  </si>
  <si>
    <t xml:space="preserve">S8 · Segmentar, nombrar y accionar</t>
  </si>
  <si>
    <t xml:space="preserve">PROYECTO DE MEDIO SEMESTRE: análisis RFM+P con recomendación comercial por segmento. Se entrega durante el receso. DataCamp: Unsupervised Learning in Python.</t>
  </si>
  <si>
    <t xml:space="preserve">12-oct-2026</t>
  </si>
  <si>
    <t xml:space="preserve">RECESO</t>
  </si>
  <si>
    <t xml:space="preserve">Receso académico de medio semestre y Feriado Independencia de Guayaquil</t>
  </si>
  <si>
    <t xml:space="preserve">14-oct-2026</t>
  </si>
  <si>
    <t xml:space="preserve">19-oct-2026</t>
  </si>
  <si>
    <t xml:space="preserve">S9 · Comparado con qué</t>
  </si>
  <si>
    <t xml:space="preserve">Devolución del proyecto de medio semestre.</t>
  </si>
  <si>
    <t xml:space="preserve">21-oct-2026</t>
  </si>
  <si>
    <t xml:space="preserve">S9 · Pruebas estadísticas y diseño experimental</t>
  </si>
  <si>
    <t xml:space="preserve">Deber 5: diseño experimental de una página.</t>
  </si>
  <si>
    <t xml:space="preserve">26-oct-2026</t>
  </si>
  <si>
    <t xml:space="preserve">S10 · De la eficiencia al modelo de negocio</t>
  </si>
  <si>
    <t xml:space="preserve">28-oct-2026</t>
  </si>
  <si>
    <t xml:space="preserve">S10 · Customer journey map y service blueprint</t>
  </si>
  <si>
    <t xml:space="preserve">Journey map y blueprint anotados con los puntos de captura de datos.</t>
  </si>
  <si>
    <t xml:space="preserve">02-nov-2026</t>
  </si>
  <si>
    <t xml:space="preserve">FERIADO</t>
  </si>
  <si>
    <t xml:space="preserve">Feriado Día de Difuntos e Independencia de Cuenca</t>
  </si>
  <si>
    <t xml:space="preserve">04-nov-2026</t>
  </si>
  <si>
    <t xml:space="preserve">S11 · Semana comprimida · El mapa de los modelos y la ecuación de valor</t>
  </si>
  <si>
    <t xml:space="preserve">Evaluación intermedia sobre criterio de negocio.</t>
  </si>
  <si>
    <t xml:space="preserve">09-nov-2026</t>
  </si>
  <si>
    <t xml:space="preserve">S12 · Una variable explica otra</t>
  </si>
  <si>
    <t xml:space="preserve">11-nov-2026</t>
  </si>
  <si>
    <t xml:space="preserve">S12 · Pronóstico con línea base</t>
  </si>
  <si>
    <t xml:space="preserve">Deber 6: pronóstico con línea base declarada. DataCamp: Introduction to Regression with statsmodels.</t>
  </si>
  <si>
    <t xml:space="preserve">16-nov-2026</t>
  </si>
  <si>
    <t xml:space="preserve">S13 · Varias variables a la vez</t>
  </si>
  <si>
    <t xml:space="preserve">18-nov-2026</t>
  </si>
  <si>
    <t xml:space="preserve">S13 · Modelo múltiple del negocio</t>
  </si>
  <si>
    <t xml:space="preserve">Avance de proyecto: modelo de pronóstico documentado.</t>
  </si>
  <si>
    <t xml:space="preserve">23-nov-2026</t>
  </si>
  <si>
    <t xml:space="preserve">S14 · Probabilidad como recurso de focalización</t>
  </si>
  <si>
    <t xml:space="preserve">25-nov-2026</t>
  </si>
  <si>
    <t xml:space="preserve">S14 · Focalización con presupuesto limitado</t>
  </si>
  <si>
    <t xml:space="preserve">Deber 7: recomendación de focalización con retorno esperado. DataCamp: Supervised Learning with scikit-learn.</t>
  </si>
  <si>
    <t xml:space="preserve">30-nov-2026</t>
  </si>
  <si>
    <t xml:space="preserve">S15 · Un modelo aprende del pasado y reproduce sus desigualdades</t>
  </si>
  <si>
    <t xml:space="preserve">02-dic-2026</t>
  </si>
  <si>
    <t xml:space="preserve">S15 · Consultoría entre grupos</t>
  </si>
  <si>
    <t xml:space="preserve">Borrador completo del cuaderno reproducible.</t>
  </si>
  <si>
    <t xml:space="preserve">07-dic-2026</t>
  </si>
  <si>
    <t xml:space="preserve">S16 · Presentaciones finales · primera mitad</t>
  </si>
  <si>
    <t xml:space="preserve">Proyecto final: recomendación de una página y cuaderno reproducible.</t>
  </si>
  <si>
    <t xml:space="preserve">Evaluación docente ABIERTA (cierra 10-dic-2026)</t>
  </si>
  <si>
    <t xml:space="preserve">09-dic-2026</t>
  </si>
  <si>
    <t xml:space="preserve">S16 · Presentaciones finales · segunda mitad y cierre</t>
  </si>
  <si>
    <t xml:space="preserve">Evaluación 360. Cierra la evaluación docente el 10-dic-2026.</t>
  </si>
  <si>
    <t xml:space="preserve">Última sesión del módulo · Evaluación docente ABIERTA (cierra 10-dic-2026)</t>
  </si>
  <si>
    <t xml:space="preserve">Sesión</t>
  </si>
  <si>
    <t xml:space="preserve">Semana curso</t>
  </si>
  <si>
    <t xml:space="preserve">Bloque</t>
  </si>
  <si>
    <t xml:space="preserve">Desarrollo de la sesión</t>
  </si>
  <si>
    <t xml:space="preserve">Entrega</t>
  </si>
  <si>
    <t xml:space="preserve">Material del seminario de Python</t>
  </si>
  <si>
    <t xml:space="preserve">I · Leer datos</t>
  </si>
  <si>
    <t xml:space="preserve">Por qué fracasan los análisis</t>
  </si>
  <si>
    <t xml:space="preserve">Un informe real con datos correctos y conclusión inválida. La escalera descriptivo, diagnóstico, predictivo y prescriptivo. Qué se califica en este curso: el encargo y la verificación, no el código.</t>
  </si>
  <si>
    <t xml:space="preserve">Colab y el primer cuaderno</t>
  </si>
  <si>
    <t xml:space="preserve">Recorrido guiado de un análisis completo de principio a fin, de la pregunta a la recomendación. Firma del protocolo de uso de IA generativa y apertura de la bitácora de prompts.</t>
  </si>
  <si>
    <t xml:space="preserve">S01-C1 · Kick-off del seminario · clase_01.ipynb</t>
  </si>
  <si>
    <t xml:space="preserve">Unidad de análisis, métrica, comparación y decisión</t>
  </si>
  <si>
    <t xml:space="preserve">Clínica de definiciones ambiguas: qué es un cliente activo, qué cuenta como venta, qué es un pedido. Caso de apertura del semestre.</t>
  </si>
  <si>
    <t xml:space="preserve">Carga y primer contacto con la base del curso</t>
  </si>
  <si>
    <t xml:space="preserve">read_csv, head, info y shape. Cada grupo redacta la ficha de análisis de su proyecto y otro grupo la ataca.</t>
  </si>
  <si>
    <t xml:space="preserve">S03-C2 · Pandas I · clase_06.ipynb · S02-C2 · Planteamiento del proyecto · clase_04.ipynb</t>
  </si>
  <si>
    <t xml:space="preserve">La trampa del promedio</t>
  </si>
  <si>
    <t xml:space="preserve">Distribuciones bimodales, mediana frente a media, dispersión y tamaño de muestra. Caso: dos áreas reportan ventas distintas del mismo mes.</t>
  </si>
  <si>
    <t xml:space="preserve">Perfilado descriptivo contra reloj</t>
  </si>
  <si>
    <t xml:space="preserve">describe, value_counts y quantile. Doce preguntas descriptivas de dificultad creciente sobre la base del curso.</t>
  </si>
  <si>
    <t xml:space="preserve">S04-C2 · Visualizaciones · clase_08.ipynb (secciones 1-3)</t>
  </si>
  <si>
    <t xml:space="preserve">Granularidad, tipos de dato y calidad</t>
  </si>
  <si>
    <t xml:space="preserve">La diferencia entre ausente, cero y desconocido. Caso: el diez por ciento de las transacciones no tiene identificador de cliente.</t>
  </si>
  <si>
    <t xml:space="preserve">Inventario de problemas de calidad</t>
  </si>
  <si>
    <t xml:space="preserve">dtypes, isna, duplicated y astype. Cuantificación de cada problema y decisión de limpieza documentada.</t>
  </si>
  <si>
    <t xml:space="preserve">S04-C1 · Pandas II · clase_07.ipynb (bloque de limpieza)</t>
  </si>
  <si>
    <t xml:space="preserve">Dividir, aplicar y recombinar. Uniones y cardinalidad</t>
  </si>
  <si>
    <t xml:space="preserve">El patrón groupby y agg. Los cuatro tipos de unión. El error que llega a un directorio: una unión que duplica filas e infla la facturación.</t>
  </si>
  <si>
    <t xml:space="preserve">Torneo de preguntas y tabla de indicadores</t>
  </si>
  <si>
    <t xml:space="preserve">Cada grupo formula tres preguntas de negocio y otro las responde con datos. Construcción de la tabla mensual de indicadores desde cuatro fuentes, cuadrada contra una cifra de control.</t>
  </si>
  <si>
    <t xml:space="preserve">S04-C1 · Pandas II · clase_07.ipynb (bloque de agrupación)</t>
  </si>
  <si>
    <t xml:space="preserve">II · Comunicar datos</t>
  </si>
  <si>
    <t xml:space="preserve">Explorar, verificar y comunicar</t>
  </si>
  <si>
    <t xml:space="preserve">Cuarteto de Anscombe. Repertorio mínimo de gráficos, ejes, escalas y el título que lleva la conclusión. Reglas de honestidad visual.</t>
  </si>
  <si>
    <t xml:space="preserve">Clínica de rediseño</t>
  </si>
  <si>
    <t xml:space="preserve">matplotlib y seaborn. Cada grupo toma un gráfico malo publicado y lo rediseña justificando cada cambio.</t>
  </si>
  <si>
    <t xml:space="preserve">S04-C2 · Visualizaciones · clase_08.ipynb (secciones 4-7) · Material Actual/Actividades Organizadas/99_Lecturas_y_Material_de_Apoyo/CONTEXTO - Storytelling con datos - Cole Nussbaumer Knaflic (1).pdf</t>
  </si>
  <si>
    <t xml:space="preserve">Del gráfico al tablero</t>
  </si>
  <si>
    <t xml:space="preserve">Interactividad, jerarquía visual y qué se elimina. Fondo blanco y ausencia de decoración. El estado de resultados contado a no financieros.</t>
  </si>
  <si>
    <t xml:space="preserve">Construcción del tablero del proyecto</t>
  </si>
  <si>
    <t xml:space="preserve">Plotly y Streamlit. Cada grupo contesta una pregunta gerencial con su tablero y recibe fuego cruzado.</t>
  </si>
  <si>
    <t xml:space="preserve">S08-C1 · Dashboards con Streamlit · clase_15.ipynb</t>
  </si>
  <si>
    <t xml:space="preserve">Corte de medio semestre</t>
  </si>
  <si>
    <t xml:space="preserve">Quién es un cliente valioso</t>
  </si>
  <si>
    <t xml:space="preserve">Recencia, frecuencia, monto y margen. Los tres requisitos de un segmento útil: accionable, medible y estable.</t>
  </si>
  <si>
    <t xml:space="preserve">Segmentar, nombrar y accionar</t>
  </si>
  <si>
    <t xml:space="preserve">qcut y groupby para el puntaje RFM+P. Nombrar los segmentos y escribir el mensaje comercial de cada uno. KMeans con escalador robusto como contraste: la máquina encuentra los segmentos que el grupo definió a mano.</t>
  </si>
  <si>
    <t xml:space="preserve">casos/Caso_01_Segmentacion_Clientes_Retail.md · casos/Entregable_Intermedio_Mitad_Seminario.md</t>
  </si>
  <si>
    <t xml:space="preserve">—</t>
  </si>
  <si>
    <t xml:space="preserve">RECESO · Receso académico de medio semestre y Feriado Independencia de Guayaquil</t>
  </si>
  <si>
    <t xml:space="preserve">III · Decidir con datos</t>
  </si>
  <si>
    <t xml:space="preserve">Comparado con qué</t>
  </si>
  <si>
    <t xml:space="preserve">Ruido frente a señal, regresión a la media, variables de confusión y causalidad inversa. Caso: los clientes del programa de fidelidad gastan el doble.</t>
  </si>
  <si>
    <t xml:space="preserve">Pruebas estadísticas y diseño experimental</t>
  </si>
  <si>
    <t xml:space="preserve">Prueba t, chi cuadrado y ANOVA sobre la base del proyecto. Diseño de una prueba A y B ejecutable, con unidad de asignación, duración y presupuesto.</t>
  </si>
  <si>
    <t xml:space="preserve">S07-C2 · Hipótesis y pruebas estadísticas · clase_14.ipynb</t>
  </si>
  <si>
    <t xml:space="preserve">De la eficiencia al modelo de negocio</t>
  </si>
  <si>
    <t xml:space="preserve">Qué es transformación digital y qué es solamente comprar software. Madurez digital y dónde se rompe la experiencia del cliente.</t>
  </si>
  <si>
    <t xml:space="preserve">Customer journey map y service blueprint</t>
  </si>
  <si>
    <t xml:space="preserve">Mapa del proceso del negocio del proyecto. Sobre el blueprint se marca dónde nace cada dato y qué decisión se toma hoy a ciegas.</t>
  </si>
  <si>
    <t xml:space="preserve">FERIADO · Feriado Día de Difuntos e Independencia de Cuenca</t>
  </si>
  <si>
    <t xml:space="preserve">Semana comprimida · El mapa de los modelos y la ecuación de valor</t>
  </si>
  <si>
    <t xml:space="preserve">Sesión única de 90 minutos por el feriado del lunes. Treinta minutos de concepto: pronóstico, propensión, segmentación, asociación y optimización, qué decisión habilita cada familia y por qué la línea base es obligatoria. Sesenta minutos de taller: catálogo de doce problemas de negocio, cada grupo asigna familia, decisión, línea base y valor anual estimado, y se descubre cuáles no justifican ningún modelo.</t>
  </si>
  <si>
    <t xml:space="preserve">S06-C2 · Métricas · clase_12.ipynb (sección 2) · simuladores/simulador-train-test.html</t>
  </si>
  <si>
    <t xml:space="preserve">IV · Predecir</t>
  </si>
  <si>
    <t xml:space="preserve">Una variable explica otra</t>
  </si>
  <si>
    <t xml:space="preserve">Mínimos cuadrados, lectura del coeficiente en unidades del negocio y error de pronóstico asimétrico: quedarse sin producto y que sobre producto no cuestan lo mismo.</t>
  </si>
  <si>
    <t xml:space="preserve">Pronóstico con línea base</t>
  </si>
  <si>
    <t xml:space="preserve">LinearRegression y DummyRegressor sobre los datos del proyecto. Primero la regla ingenua, luego la regresión, y comparación honesta entre ambas con error porcentual.</t>
  </si>
  <si>
    <t xml:space="preserve">S05-C1 · Regresiones · clase_09.ipynb (secciones 1-2) · simuladores/simulador-regresion-lineal.html · simuladores/simulador-regresion-3D-advertising.html</t>
  </si>
  <si>
    <t xml:space="preserve">Varias variables a la vez</t>
  </si>
  <si>
    <t xml:space="preserve">Variables categóricas, multicolinealidad y el factor VIF. Cuándo la curva es razonable y cuándo es trampa. Diagnóstico de residuos y los cuatro supuestos del OLS.</t>
  </si>
  <si>
    <t xml:space="preserve">Modelo múltiple del negocio</t>
  </si>
  <si>
    <t xml:space="preserve">Ajuste, revisión de supuestos y presentación del resultado en una frase que un gerente pueda accionar.</t>
  </si>
  <si>
    <t xml:space="preserve">S05-C1 · Regresiones · clase_09.ipynb (secciones 3-6 y 8) · simuladores/simulador-vif.html · simuladores/simulador-overfitting.html · casos/Caso_03_Scouting_FIFA.md</t>
  </si>
  <si>
    <t xml:space="preserve">Probabilidad como recurso de focalización</t>
  </si>
  <si>
    <t xml:space="preserve">Matriz de confusión traducida a dinero. El umbral como palanca gerencial. Clases desbalanceadas y por qué la exactitud engaña.</t>
  </si>
  <si>
    <t xml:space="preserve">Focalización con presupuesto limitado</t>
  </si>
  <si>
    <t xml:space="preserve">LogisticRegression y DecisionTreeClassifier. Si solo alcanza para el veinte por ciento de la cartera, a quiénes y por qué.</t>
  </si>
  <si>
    <t xml:space="preserve">S05-C2 · Regresión Logística · clase_10.ipynb · S06-C1 · Árbol de Decisión · clase_11.ipynb · S06-C2 · Métricas · clase_12.ipynb · simuladores/simulador-confusion-matrix.html · casos/Caso_08_Fraude_Tarjetas.md</t>
  </si>
  <si>
    <t xml:space="preserve">V · Responder por el modelo</t>
  </si>
  <si>
    <t xml:space="preserve">Un modelo aprende del pasado y reproduce sus desigualdades</t>
  </si>
  <si>
    <t xml:space="preserve">Sesgo, privacidad y decisiones automatizadas sobre personas. Caso de riesgo crediticio. Qué se le puede explicar a quien recibe un no.</t>
  </si>
  <si>
    <t xml:space="preserve">Consultoría entre grupos</t>
  </si>
  <si>
    <t xml:space="preserve">Ataque a supuestos ajenos, auditoría del modelo propio y ensayo de la defensa.</t>
  </si>
  <si>
    <t xml:space="preserve">Presentaciones finales · primera mitad</t>
  </si>
  <si>
    <t xml:space="preserve">Diez minutos de exposición y diez de preguntas ante panel. Evaluación docente abierta.</t>
  </si>
  <si>
    <t xml:space="preserve">Presentaciones finales · segunda mitad y cierre</t>
  </si>
  <si>
    <t xml:space="preserve">Última sesión del semestre. Cierre del curso y evaluación 360 entre pares.</t>
  </si>
  <si>
    <t xml:space="preserve">SF · Presentaciones finales · clase_17.ipynb</t>
  </si>
  <si>
    <t xml:space="preserve">Tema de la semana</t>
  </si>
  <si>
    <t xml:space="preserve">Entregable</t>
  </si>
  <si>
    <t xml:space="preserve">Introducción a Business Analytics y Big Data en la era de la IA</t>
  </si>
  <si>
    <t xml:space="preserve">Business Analytics en las organizaciones. La pregunta antes del dato</t>
  </si>
  <si>
    <t xml:space="preserve">Estadística descriptiva aplicada al negocio</t>
  </si>
  <si>
    <t xml:space="preserve">Anatomía y calidad de los datos</t>
  </si>
  <si>
    <t xml:space="preserve">Manipulación de datos. Agrupar, limpiar y combinar</t>
  </si>
  <si>
    <t xml:space="preserve">Visualización de datos</t>
  </si>
  <si>
    <t xml:space="preserve">Visualización avanzada y tableros</t>
  </si>
  <si>
    <t xml:space="preserve">¿Quiénes son mis clientes y cuánto valen?</t>
  </si>
  <si>
    <t xml:space="preserve">Comparación, variabilidad y causalidad</t>
  </si>
  <si>
    <t xml:space="preserve">Estrategia, transformación digital y experiencia del cliente</t>
  </si>
  <si>
    <t xml:space="preserve">Modelos analíticos. Tipos de modelos y creación de valor</t>
  </si>
  <si>
    <t xml:space="preserve">Modelos de pronóstico I. Regresión lineal simple</t>
  </si>
  <si>
    <t xml:space="preserve">Modelos de pronóstico II. Regresión múltiple y diagnóstico</t>
  </si>
  <si>
    <t xml:space="preserve">Modelos de propensión. Clasificación aplicada a decisiones</t>
  </si>
  <si>
    <t xml:space="preserve">De la predicción a la decisión. Ética y gobernanza del dato</t>
  </si>
  <si>
    <t xml:space="preserve">Cierre del curso y presentación final</t>
  </si>
  <si>
    <t xml:space="preserve">Fecha límite</t>
  </si>
  <si>
    <t xml:space="preserve">Qué falta</t>
  </si>
  <si>
    <t xml:space="preserve">Situación</t>
  </si>
  <si>
    <t xml:space="preserve">10 · Estrategia, transformación digital y experiencia del cliente</t>
  </si>
  <si>
    <t xml:space="preserve">Sesión conceptual del lunes sobre transformación digital y modelo de negocio</t>
  </si>
  <si>
    <t xml:space="preserve">No existe en ninguno de los cursos anteriores ni en el seminario de Python</t>
  </si>
  <si>
    <t xml:space="preserve">11 · Modelos analíticos. Tipos de modelos y creación de valor</t>
  </si>
  <si>
    <t xml:space="preserve">Catálogo de doce problemas de negocio y guion de la sesión comprimida de 90 min</t>
  </si>
  <si>
    <t xml:space="preserve">El caso Harvard de Blue Detergent es el único insumo</t>
  </si>
  <si>
    <t xml:space="preserve">15 · De la predicción a la decisión. Ética y gobernanza</t>
  </si>
  <si>
    <t xml:space="preserve">La semana entera: caso de riesgo crediticio y clínica de consultoría entre grupos</t>
  </si>
  <si>
    <t xml:space="preserve">Ninguno de los diez casos del seminario menciona sesgo, equidad ni privacidad</t>
  </si>
  <si>
    <t xml:space="preserve">5 · Manipulación de datos. Agrupar, limpiar y combinar</t>
  </si>
  <si>
    <t xml:space="preserve">Las uniones: merge, concat y cardinalidad</t>
  </si>
  <si>
    <t xml:space="preserve">El cuaderno de Pandas II del seminario las promete en su plan pero no las implementa</t>
  </si>
  <si>
    <t xml:space="preserve">8 · ¿Quiénes son mis clientes y cuánto valen?</t>
  </si>
  <si>
    <t xml:space="preserve">Decidir dataset del proyecto de medio semestre</t>
  </si>
  <si>
    <t xml:space="preserve">El Caso 01 es RFM sin margen y corre sobre Online Retail II; el cuaderno de 202410 usa SuperStore y sí trae Profit</t>
  </si>
  <si>
    <t xml:space="preserve">ÍNDICE · Guía del Profesor · Calendario Académico USFQ Galápagos 2026-2027</t>
  </si>
  <si>
    <t xml:space="preserve">Haz clic en cualquier nombre para ir a la hoja correspondiente.</t>
  </si>
  <si>
    <t xml:space="preserve">Hoja</t>
  </si>
  <si>
    <t xml:space="preserve">Desde</t>
  </si>
  <si>
    <t xml:space="preserve">Hasta</t>
  </si>
  <si>
    <t xml:space="preserve">Sesiones</t>
  </si>
  <si>
    <t xml:space="preserve">Modalidad / contenido</t>
  </si>
  <si>
    <t xml:space="preserve">Instrucciones</t>
  </si>
  <si>
    <t xml:space="preserve">Legenda, reglas de carga horaria y supuestos</t>
  </si>
  <si>
    <t xml:space="preserve">Feriados y Recesos</t>
  </si>
  <si>
    <t xml:space="preserve">Los 12 feriados y recesos académicos del año</t>
  </si>
  <si>
    <t xml:space="preserve">Resumen Periodos</t>
  </si>
  <si>
    <t xml:space="preserve">Fechas de todos los periodos y módulos</t>
  </si>
  <si>
    <t xml:space="preserve">MATERIAS DE SEMESTRE COMPLETO · 1.5 h por sesión</t>
  </si>
  <si>
    <t xml:space="preserve">S1 Lun-Mié</t>
  </si>
  <si>
    <t xml:space="preserve">11-dic-2026</t>
  </si>
  <si>
    <t xml:space="preserve">Lun y Mié · 1.5 h</t>
  </si>
  <si>
    <t xml:space="preserve">S1 Mar-Jue</t>
  </si>
  <si>
    <t xml:space="preserve">Mar y Jue · 1.5 h</t>
  </si>
  <si>
    <t xml:space="preserve">S2 Lun-Mié</t>
  </si>
  <si>
    <t xml:space="preserve">11-ene-2027</t>
  </si>
  <si>
    <t xml:space="preserve">07-may-2027</t>
  </si>
  <si>
    <t xml:space="preserve">S2 Mar-Jue</t>
  </si>
  <si>
    <t xml:space="preserve">PRIMER SEMESTRE 2026-2027 · módulos</t>
  </si>
  <si>
    <t xml:space="preserve">S1-Módulo 1</t>
  </si>
  <si>
    <t xml:space="preserve">11-sep-2026</t>
  </si>
  <si>
    <t xml:space="preserve">Lun a Jue · 3 h</t>
  </si>
  <si>
    <t xml:space="preserve">S1-Módulo 2</t>
  </si>
  <si>
    <t xml:space="preserve">09-oct-2026</t>
  </si>
  <si>
    <t xml:space="preserve">S1-Módulo 3</t>
  </si>
  <si>
    <t xml:space="preserve">13-nov-2026</t>
  </si>
  <si>
    <t xml:space="preserve">S1-Módulo 4</t>
  </si>
  <si>
    <t xml:space="preserve">S1-Módulo A</t>
  </si>
  <si>
    <t xml:space="preserve">11-oct-2026</t>
  </si>
  <si>
    <t xml:space="preserve">En línea / inglés · 1.5 h</t>
  </si>
  <si>
    <t xml:space="preserve">S1-Módulo B</t>
  </si>
  <si>
    <t xml:space="preserve">13-dic-2026</t>
  </si>
  <si>
    <t xml:space="preserve">SEGUNDO SEMESTRE 2026-2027 · módulos</t>
  </si>
  <si>
    <t xml:space="preserve">S2-Módulo 1</t>
  </si>
  <si>
    <t xml:space="preserve">05-feb-2027</t>
  </si>
  <si>
    <t xml:space="preserve">S2-Módulo 2</t>
  </si>
  <si>
    <t xml:space="preserve">08-feb-2027</t>
  </si>
  <si>
    <t xml:space="preserve">05-mar-2027</t>
  </si>
  <si>
    <t xml:space="preserve">S2-Módulo 3</t>
  </si>
  <si>
    <t xml:space="preserve">15-mar-2027</t>
  </si>
  <si>
    <t xml:space="preserve">09-abr-2027</t>
  </si>
  <si>
    <t xml:space="preserve">S2-Módulo 4</t>
  </si>
  <si>
    <t xml:space="preserve">12-abr-2027</t>
  </si>
  <si>
    <t xml:space="preserve">S2-Módulo C</t>
  </si>
  <si>
    <t xml:space="preserve">07-mar-2027</t>
  </si>
  <si>
    <t xml:space="preserve">S2-Módulo D</t>
  </si>
  <si>
    <t xml:space="preserve">09-may-2027</t>
  </si>
  <si>
    <t xml:space="preserve">VERANO 2026-2027 · módulos</t>
  </si>
  <si>
    <t xml:space="preserve">V-Módulo 1</t>
  </si>
  <si>
    <t xml:space="preserve">10-may-2027</t>
  </si>
  <si>
    <t xml:space="preserve">04-jun-2027</t>
  </si>
  <si>
    <t xml:space="preserve">V-Módulo 2</t>
  </si>
  <si>
    <t xml:space="preserve">07-jun-2027</t>
  </si>
  <si>
    <t xml:space="preserve">02-jul-2027</t>
  </si>
  <si>
    <t xml:space="preserve">V-Módulo 3</t>
  </si>
  <si>
    <t xml:space="preserve">05-jul-2027</t>
  </si>
  <si>
    <t xml:space="preserve">30-jul-2027</t>
  </si>
  <si>
    <t xml:space="preserve">V-En línea</t>
  </si>
  <si>
    <t xml:space="preserve">25-may-2027</t>
  </si>
  <si>
    <t xml:space="preserve">25-jul-2027</t>
  </si>
  <si>
    <t xml:space="preserve">V-Inglés E</t>
  </si>
  <si>
    <t xml:space="preserve">25-jun-2027</t>
  </si>
  <si>
    <t xml:space="preserve">V-Inglés F</t>
  </si>
  <si>
    <t xml:space="preserve">28-jun-2027</t>
  </si>
  <si>
    <t xml:space="preserve">13-ago-2027</t>
  </si>
  <si>
    <t xml:space="preserve">GUÍA DEL PROFESOR · Calendario Académico USFQ Galápagos 2026-2027</t>
  </si>
  <si>
    <t xml:space="preserve">Fuente: Calendario Académico Galápagos 2026-2027 (hojas 'Calendario WEB 2026-2027' y 'Partes de Periodo 2026-2027').</t>
  </si>
  <si>
    <t xml:space="preserve">ESTRUCTURA DEL LIBRO</t>
  </si>
  <si>
    <t xml:space="preserve">Columnas Tema y Entregas</t>
  </si>
  <si>
    <t xml:space="preserve">Quedan en blanco para que cada profesor las complete y las traslade directamente al syllabus.</t>
  </si>
  <si>
    <t xml:space="preserve">Columna Semana</t>
  </si>
  <si>
    <t xml:space="preserve">Número de semana de clase dentro del módulo o del semestre.</t>
  </si>
  <si>
    <t xml:space="preserve">Los 12 feriados y recesos académicos del año, con indicación de cuáles no aplican a modalidad en línea.</t>
  </si>
  <si>
    <t xml:space="preserve">Fechas de inicio y fin de cada periodo y módulo.</t>
  </si>
  <si>
    <t xml:space="preserve">S1 / S2 · Lun-Mié y Mar-Jue</t>
  </si>
  <si>
    <t xml:space="preserve">Materias de semestre completo: 2 sesiones semanales de 1.5 h.</t>
  </si>
  <si>
    <t xml:space="preserve">S1-Módulo 1..4 · S2-Módulo 1..4 · V-Módulo 1..3</t>
  </si>
  <si>
    <t xml:space="preserve">Materias modulares de un mes: lunes a jueves, 3 h diarias. No hay clases los viernes.</t>
  </si>
  <si>
    <t xml:space="preserve">S1-Módulo A/B · S2-Módulo C/D · V-En línea · V-Inglés E/F</t>
  </si>
  <si>
    <t xml:space="preserve">Módulos de 7 y 8 semanas (en línea y niveles de inglés).</t>
  </si>
  <si>
    <t xml:space="preserve">SIGNIFICADO DE LA COLUMNA 'ESTADO'</t>
  </si>
  <si>
    <t xml:space="preserve">Asincrónico</t>
  </si>
  <si>
    <t xml:space="preserve">Sesión de trabajo autónomo, sin clase presencial.</t>
  </si>
  <si>
    <t xml:space="preserve">Sesión presencial regular. La última del módulo aparece resaltada en verde.</t>
  </si>
  <si>
    <t xml:space="preserve">Día de feriado nacional o local: no hay clase.</t>
  </si>
  <si>
    <t xml:space="preserve">Receso académico: no hay clase. No aplica a materias de modalidad en línea.</t>
  </si>
  <si>
    <t xml:space="preserve">Fondo amarillo</t>
  </si>
  <si>
    <t xml:space="preserve">Días en que está abierta la evaluación docente por parte de los estudiantes. La ventana cierra antes del último día de clase.</t>
  </si>
  <si>
    <t xml:space="preserve">Sin clases los viernes</t>
  </si>
  <si>
    <t xml:space="preserve">Todas las materias funcionan de lunes a jueves.</t>
  </si>
  <si>
    <t xml:space="preserve">SUPUESTOS</t>
  </si>
  <si>
    <t xml:space="preserve">Sin horarios</t>
  </si>
  <si>
    <t xml:space="preserve">Este libro es una guía de calendario por módulo: no contiene horas de inicio ni de fin. El horario real lo asigna la coordinación.</t>
  </si>
  <si>
    <t xml:space="preserve">Recesos y modalidad en línea</t>
  </si>
  <si>
    <t xml:space="preserve">Los recesos académicos no aplican a materias en línea (nota del calendario oficial); en esas hojas los días de receso se mantienen como clase.</t>
  </si>
  <si>
    <t xml:space="preserve">FERIADOS Y RECESOS ACADÉMICOS 2026-2027</t>
  </si>
  <si>
    <t xml:space="preserve">Actividad</t>
  </si>
  <si>
    <t xml:space="preserve">Tipo</t>
  </si>
  <si>
    <t xml:space="preserve">Días</t>
  </si>
  <si>
    <t xml:space="preserve">Aplica a modalidad en línea</t>
  </si>
  <si>
    <t xml:space="preserve">Feriado Primer Grito de Independencia</t>
  </si>
  <si>
    <t xml:space="preserve">08-ago-2026</t>
  </si>
  <si>
    <t xml:space="preserve">10-ago-2026</t>
  </si>
  <si>
    <t xml:space="preserve">Feriado</t>
  </si>
  <si>
    <t xml:space="preserve">Sí</t>
  </si>
  <si>
    <t xml:space="preserve">18-oct-2026</t>
  </si>
  <si>
    <t xml:space="preserve">Receso</t>
  </si>
  <si>
    <t xml:space="preserve">No</t>
  </si>
  <si>
    <t xml:space="preserve">31-oct-2026</t>
  </si>
  <si>
    <t xml:space="preserve">03-nov-2026</t>
  </si>
  <si>
    <t xml:space="preserve">Receso académico de Navidad y Año Nuevo (estudiantes)</t>
  </si>
  <si>
    <t xml:space="preserve">12-dic-2026</t>
  </si>
  <si>
    <t xml:space="preserve">10-ene-2027</t>
  </si>
  <si>
    <t xml:space="preserve">Vacaciones personal académico y administrativo</t>
  </si>
  <si>
    <t xml:space="preserve">19-dic-2026</t>
  </si>
  <si>
    <t xml:space="preserve">03-ene-2027</t>
  </si>
  <si>
    <t xml:space="preserve">Feriado Carnaval</t>
  </si>
  <si>
    <t xml:space="preserve">06-feb-2027</t>
  </si>
  <si>
    <t xml:space="preserve">09-feb-2027</t>
  </si>
  <si>
    <t xml:space="preserve">Feriado Provincialización de Galápagos</t>
  </si>
  <si>
    <t xml:space="preserve">18-feb-2027</t>
  </si>
  <si>
    <t xml:space="preserve">Receso académico de medio semestre</t>
  </si>
  <si>
    <t xml:space="preserve">08-mar-2027</t>
  </si>
  <si>
    <t xml:space="preserve">14-mar-2027</t>
  </si>
  <si>
    <t xml:space="preserve">Feriado Viernes Santo</t>
  </si>
  <si>
    <t xml:space="preserve">26-mar-2027</t>
  </si>
  <si>
    <t xml:space="preserve">28-mar-2027</t>
  </si>
  <si>
    <t xml:space="preserve">Feriado Día del Trabajo</t>
  </si>
  <si>
    <t xml:space="preserve">30-abr-2027</t>
  </si>
  <si>
    <t xml:space="preserve">02-may-2027</t>
  </si>
  <si>
    <t xml:space="preserve">Feriado Batalla del Pichincha</t>
  </si>
  <si>
    <t xml:space="preserve">22-may-2027</t>
  </si>
  <si>
    <t xml:space="preserve">24-may-2027</t>
  </si>
  <si>
    <t xml:space="preserve">07-ago-2027</t>
  </si>
  <si>
    <t xml:space="preserve">09-ago-2027</t>
  </si>
  <si>
    <t xml:space="preserve">Nota: los recesos académicos no aplican para materias de modalidad en línea.</t>
  </si>
  <si>
    <t xml:space="preserve">RESUMEN DE PERIODOS Y MÓDULOS 2026-2027</t>
  </si>
  <si>
    <t xml:space="preserve">Periodo / Módulo</t>
  </si>
  <si>
    <t xml:space="preserve">Modalidad</t>
  </si>
  <si>
    <t xml:space="preserve">Días de clase</t>
  </si>
  <si>
    <t xml:space="preserve">Horas por sesión</t>
  </si>
  <si>
    <t xml:space="preserve">Primer Semestre Galápagos 2026-2027 · materias de semestre completo</t>
  </si>
  <si>
    <t xml:space="preserve">Presencial / Semipresencial</t>
  </si>
  <si>
    <t xml:space="preserve">Lun-Mié o Mar-Jue</t>
  </si>
  <si>
    <t xml:space="preserve">1.5</t>
  </si>
  <si>
    <t xml:space="preserve">Segundo Semestre Galápagos 2026-2027 · materias de semestre completo</t>
  </si>
  <si>
    <t xml:space="preserve">S1 · Módulo 1 (presencial / semipresencial)</t>
  </si>
  <si>
    <t xml:space="preserve">Lunes a jueves</t>
  </si>
  <si>
    <t xml:space="preserve">3.0</t>
  </si>
  <si>
    <t xml:space="preserve">S1 · Módulo 2 (presencial / semipresencial)</t>
  </si>
  <si>
    <t xml:space="preserve">S1 · Módulo 3 (presencial / semipresencial)</t>
  </si>
  <si>
    <t xml:space="preserve">S1 · Módulo 4 (presencial / semipresencial)</t>
  </si>
  <si>
    <t xml:space="preserve">S1 · Módulo A (en línea / niveles de inglés · 8 semanas)</t>
  </si>
  <si>
    <t xml:space="preserve">En línea / Inglés</t>
  </si>
  <si>
    <t xml:space="preserve">Lun a jue · según modalidad</t>
  </si>
  <si>
    <t xml:space="preserve">S1 · Módulo B (en línea / niveles de inglés · 8 semanas)</t>
  </si>
  <si>
    <t xml:space="preserve">S2 · Módulo 1 (presencial / semipresencial)</t>
  </si>
  <si>
    <t xml:space="preserve">S2 · Módulo 2 (presencial / semipresencial)</t>
  </si>
  <si>
    <t xml:space="preserve">S2 · Módulo 3 (presencial / semipresencial)</t>
  </si>
  <si>
    <t xml:space="preserve">S2 · Módulo 4 (presencial / semipresencial)</t>
  </si>
  <si>
    <t xml:space="preserve">S2 · Módulo C (en línea / niveles de inglés · 8 semanas)</t>
  </si>
  <si>
    <t xml:space="preserve">S2 · Módulo D (en línea / niveles de inglés · 8 semanas)</t>
  </si>
  <si>
    <t xml:space="preserve">Verano · Módulo 1 (presencial / semipresencial)</t>
  </si>
  <si>
    <t xml:space="preserve">Verano · Módulo 2 (presencial / semipresencial)</t>
  </si>
  <si>
    <t xml:space="preserve">Verano · Módulo 3 (presencial / semipresencial)</t>
  </si>
  <si>
    <t xml:space="preserve">Verano · Materias en línea (8 semanas)</t>
  </si>
  <si>
    <t xml:space="preserve">En línea</t>
  </si>
  <si>
    <t xml:space="preserve">Verano · Niveles de inglés Módulo E (7 semanas)</t>
  </si>
  <si>
    <t xml:space="preserve">Presencial (inglés)</t>
  </si>
  <si>
    <t xml:space="preserve">Verano · Niveles de inglés Módulo F (7 semanas)</t>
  </si>
  <si>
    <t xml:space="preserve">Primer Semestre Galápagos 2026-2027 · Materias de semestre completo (Mar-Jue)</t>
  </si>
  <si>
    <t xml:space="preserve">18-ago-2026</t>
  </si>
  <si>
    <t xml:space="preserve">Martes</t>
  </si>
  <si>
    <t xml:space="preserve">20-ago-2026</t>
  </si>
  <si>
    <t xml:space="preserve">Jueves</t>
  </si>
  <si>
    <t xml:space="preserve">25-ago-2026</t>
  </si>
  <si>
    <t xml:space="preserve">27-ago-2026</t>
  </si>
  <si>
    <t xml:space="preserve">01-sep-2026</t>
  </si>
  <si>
    <t xml:space="preserve">03-sep-2026</t>
  </si>
  <si>
    <t xml:space="preserve">08-sep-2026</t>
  </si>
  <si>
    <t xml:space="preserve">10-sep-2026</t>
  </si>
  <si>
    <t xml:space="preserve">15-sep-2026</t>
  </si>
  <si>
    <t xml:space="preserve">17-sep-2026</t>
  </si>
  <si>
    <t xml:space="preserve">22-sep-2026</t>
  </si>
  <si>
    <t xml:space="preserve">24-sep-2026</t>
  </si>
  <si>
    <t xml:space="preserve">29-sep-2026</t>
  </si>
  <si>
    <t xml:space="preserve">01-oct-2026</t>
  </si>
  <si>
    <t xml:space="preserve">06-oct-2026</t>
  </si>
  <si>
    <t xml:space="preserve">08-oct-2026</t>
  </si>
  <si>
    <t xml:space="preserve">13-oct-2026</t>
  </si>
  <si>
    <t xml:space="preserve">15-oct-2026</t>
  </si>
  <si>
    <t xml:space="preserve">20-oct-2026</t>
  </si>
  <si>
    <t xml:space="preserve">22-oct-2026</t>
  </si>
  <si>
    <t xml:space="preserve">27-oct-2026</t>
  </si>
  <si>
    <t xml:space="preserve">29-oct-2026</t>
  </si>
  <si>
    <t xml:space="preserve">05-nov-2026</t>
  </si>
  <si>
    <t xml:space="preserve">10-nov-2026</t>
  </si>
  <si>
    <t xml:space="preserve">12-nov-2026</t>
  </si>
  <si>
    <t xml:space="preserve">17-nov-2026</t>
  </si>
  <si>
    <t xml:space="preserve">19-nov-2026</t>
  </si>
  <si>
    <t xml:space="preserve">24-nov-2026</t>
  </si>
  <si>
    <t xml:space="preserve">26-nov-2026</t>
  </si>
  <si>
    <t xml:space="preserve">01-dic-2026</t>
  </si>
  <si>
    <t xml:space="preserve">03-dic-2026</t>
  </si>
  <si>
    <t xml:space="preserve">08-dic-2026</t>
  </si>
  <si>
    <t xml:space="preserve">10-dic-2026</t>
  </si>
  <si>
    <t xml:space="preserve">Segundo Semestre Galápagos 2026-2027 · Materias de semestre completo (Lun-Mié)</t>
  </si>
  <si>
    <t xml:space="preserve">Materias de semestre completo · dos sesiones semanales de 1.5 h · 11-ene-2027 al 07-may-2027.</t>
  </si>
  <si>
    <t xml:space="preserve">Evaluación docente por parte de estudiantes (202620-G4 (fin de semestre)): del 03-may-2027 al 06-may-2027 — cierra antes del último día de clase.</t>
  </si>
  <si>
    <t xml:space="preserve">13-ene-2027</t>
  </si>
  <si>
    <t xml:space="preserve">18-ene-2027</t>
  </si>
  <si>
    <t xml:space="preserve">20-ene-2027</t>
  </si>
  <si>
    <t xml:space="preserve">25-ene-2027</t>
  </si>
  <si>
    <t xml:space="preserve">27-ene-2027</t>
  </si>
  <si>
    <t xml:space="preserve">01-feb-2027</t>
  </si>
  <si>
    <t xml:space="preserve">03-feb-2027</t>
  </si>
  <si>
    <t xml:space="preserve">10-feb-2027</t>
  </si>
  <si>
    <t xml:space="preserve">15-feb-2027</t>
  </si>
  <si>
    <t xml:space="preserve">17-feb-2027</t>
  </si>
  <si>
    <t xml:space="preserve">22-feb-2027</t>
  </si>
  <si>
    <t xml:space="preserve">24-feb-2027</t>
  </si>
  <si>
    <t xml:space="preserve">01-mar-2027</t>
  </si>
  <si>
    <t xml:space="preserve">03-mar-2027</t>
  </si>
  <si>
    <t xml:space="preserve">10-mar-2027</t>
  </si>
  <si>
    <t xml:space="preserve">17-mar-2027</t>
  </si>
  <si>
    <t xml:space="preserve">22-mar-2027</t>
  </si>
  <si>
    <t xml:space="preserve">24-mar-2027</t>
  </si>
  <si>
    <t xml:space="preserve">29-mar-2027</t>
  </si>
  <si>
    <t xml:space="preserve">31-mar-2027</t>
  </si>
  <si>
    <t xml:space="preserve">05-abr-2027</t>
  </si>
  <si>
    <t xml:space="preserve">07-abr-2027</t>
  </si>
  <si>
    <t xml:space="preserve">14-abr-2027</t>
  </si>
  <si>
    <t xml:space="preserve">19-abr-2027</t>
  </si>
  <si>
    <t xml:space="preserve">21-abr-2027</t>
  </si>
  <si>
    <t xml:space="preserve">26-abr-2027</t>
  </si>
  <si>
    <t xml:space="preserve">28-abr-2027</t>
  </si>
  <si>
    <t xml:space="preserve">03-may-2027</t>
  </si>
  <si>
    <t xml:space="preserve">Evaluación docente ABIERTA (cierra 06-may-2027)</t>
  </si>
  <si>
    <t xml:space="preserve">05-may-2027</t>
  </si>
  <si>
    <t xml:space="preserve">Última sesión del módulo · Evaluación docente ABIERTA (cierra 06-may-2027)</t>
  </si>
  <si>
    <t xml:space="preserve">Segundo Semestre Galápagos 2026-2027 · Materias de semestre completo (Mar-Jue)</t>
  </si>
  <si>
    <t xml:space="preserve">12-ene-2027</t>
  </si>
  <si>
    <t xml:space="preserve">14-ene-2027</t>
  </si>
  <si>
    <t xml:space="preserve">19-ene-2027</t>
  </si>
  <si>
    <t xml:space="preserve">21-ene-2027</t>
  </si>
  <si>
    <t xml:space="preserve">26-ene-2027</t>
  </si>
  <si>
    <t xml:space="preserve">28-ene-2027</t>
  </si>
  <si>
    <t xml:space="preserve">02-feb-2027</t>
  </si>
  <si>
    <t xml:space="preserve">04-feb-2027</t>
  </si>
  <si>
    <t xml:space="preserve">11-feb-2027</t>
  </si>
  <si>
    <t xml:space="preserve">16-feb-2027</t>
  </si>
  <si>
    <t xml:space="preserve">23-feb-2027</t>
  </si>
  <si>
    <t xml:space="preserve">25-feb-2027</t>
  </si>
  <si>
    <t xml:space="preserve">02-mar-2027</t>
  </si>
  <si>
    <t xml:space="preserve">04-mar-2027</t>
  </si>
  <si>
    <t xml:space="preserve">09-mar-2027</t>
  </si>
  <si>
    <t xml:space="preserve">11-mar-2027</t>
  </si>
  <si>
    <t xml:space="preserve">16-mar-2027</t>
  </si>
  <si>
    <t xml:space="preserve">18-mar-2027</t>
  </si>
  <si>
    <t xml:space="preserve">23-mar-2027</t>
  </si>
  <si>
    <t xml:space="preserve">25-mar-2027</t>
  </si>
  <si>
    <t xml:space="preserve">30-mar-2027</t>
  </si>
  <si>
    <t xml:space="preserve">01-abr-2027</t>
  </si>
  <si>
    <t xml:space="preserve">06-abr-2027</t>
  </si>
  <si>
    <t xml:space="preserve">08-abr-2027</t>
  </si>
  <si>
    <t xml:space="preserve">13-abr-2027</t>
  </si>
  <si>
    <t xml:space="preserve">15-abr-2027</t>
  </si>
  <si>
    <t xml:space="preserve">20-abr-2027</t>
  </si>
  <si>
    <t xml:space="preserve">22-abr-2027</t>
  </si>
  <si>
    <t xml:space="preserve">27-abr-2027</t>
  </si>
  <si>
    <t xml:space="preserve">29-abr-2027</t>
  </si>
  <si>
    <t xml:space="preserve">04-may-2027</t>
  </si>
  <si>
    <t xml:space="preserve">06-may-2027</t>
  </si>
  <si>
    <t xml:space="preserve">Lunes a jueves · 3 h diarias · 17-ago-2026 al 11-sep-2026.</t>
  </si>
  <si>
    <t xml:space="preserve">Evaluación docente por parte de estudiantes (202610-G1): del 07-sep-2026 al 10-sep-2026 — cierra antes del último día de clase.</t>
  </si>
  <si>
    <t xml:space="preserve">FECHAS CLAVE</t>
  </si>
  <si>
    <t xml:space="preserve">Último día para eliminar vía Banner</t>
  </si>
  <si>
    <t xml:space="preserve">Retiro con W</t>
  </si>
  <si>
    <t xml:space="preserve">21-ago-2026 a 28-ago-2026</t>
  </si>
  <si>
    <t xml:space="preserve">31-ago-2026 a 11-sep-2026</t>
  </si>
  <si>
    <t xml:space="preserve">Ingreso de calificaciones</t>
  </si>
  <si>
    <t xml:space="preserve">Evaluación docente ABIERTA (cierra 10-sep-2026)</t>
  </si>
  <si>
    <t xml:space="preserve">Última sesión del módulo · Evaluación docente ABIERTA (cierra 10-sep-2026)</t>
  </si>
  <si>
    <t xml:space="preserve">Lunes a jueves · 3 h diarias · 14-sep-2026 al 09-oct-2026.</t>
  </si>
  <si>
    <t xml:space="preserve">Evaluación docente por parte de estudiantes (202610-G2): del 05-oct-2026 al 07-oct-2026 — cierra antes del último día de clase.</t>
  </si>
  <si>
    <t xml:space="preserve">18-sep-2026 a 25-sep-2026</t>
  </si>
  <si>
    <t xml:space="preserve">28-sep-2026 a 09-oct-2026</t>
  </si>
  <si>
    <t xml:space="preserve">Evaluación docente ABIERTA (cierra 07-oct-2026)</t>
  </si>
  <si>
    <t xml:space="preserve">Última sesión del módulo</t>
  </si>
  <si>
    <t xml:space="preserve">Lunes a jueves · 3 h diarias · 19-oct-2026 al 13-nov-2026.</t>
  </si>
  <si>
    <t xml:space="preserve">Evaluación docente por parte de estudiantes (202610-G3): del 09-nov-2026 al 12-nov-2026 — cierra antes del último día de clase.</t>
  </si>
  <si>
    <t xml:space="preserve">23-oct-2026 a 30-oct-2026</t>
  </si>
  <si>
    <t xml:space="preserve">02-nov-2026 a 13-nov-2026</t>
  </si>
  <si>
    <t xml:space="preserve">Evaluación docente ABIERTA (cierra 12-nov-2026)</t>
  </si>
  <si>
    <t xml:space="preserve">Última sesión del módulo · Evaluación docente ABIERTA (cierra 12-nov-2026)</t>
  </si>
  <si>
    <t xml:space="preserve">Lunes a jueves · 3 h diarias · 16-nov-2026 al 11-dic-2026.</t>
  </si>
  <si>
    <t xml:space="preserve">Evaluación docente por parte de estudiantes (202610-G4): del 07-dic-2026 al 10-dic-2026 — cierra antes del último día de clase.</t>
  </si>
  <si>
    <t xml:space="preserve">20-nov-2026 a 27-nov-2026</t>
  </si>
  <si>
    <t xml:space="preserve">30-nov-2026 a 11-dic-2026</t>
  </si>
  <si>
    <t xml:space="preserve">21-dic-2026</t>
  </si>
  <si>
    <t xml:space="preserve">En línea / niveles de inglés · sesiones de 1.5 h · 17-ago-2026 al 11-oct-2026. Los recesos no aplican a la modalidad en línea.</t>
  </si>
  <si>
    <t xml:space="preserve">Evaluación docente por parte de estudiantes (202610-G5 / G7): del 05-oct-2026 al 07-oct-2026 — cierra antes del último día de clase.</t>
  </si>
  <si>
    <t xml:space="preserve">21-ago-2026 a 18-sep-2026</t>
  </si>
  <si>
    <t xml:space="preserve">21-sep-2026 a 11-oct-2026</t>
  </si>
  <si>
    <t xml:space="preserve">En línea / niveles de inglés · sesiones de 1.5 h · 19-oct-2026 al 13-dic-2026. Los recesos no aplican a la modalidad en línea.</t>
  </si>
  <si>
    <t xml:space="preserve">Evaluación docente por parte de estudiantes (202610-G6 / G8): del 07-dic-2026 al 10-dic-2026 — cierra antes del último día de clase.</t>
  </si>
  <si>
    <t xml:space="preserve">22-oct-2026 a 20-nov-2026</t>
  </si>
  <si>
    <t xml:space="preserve">23-nov-2026 a 13-dic-2026</t>
  </si>
  <si>
    <t xml:space="preserve">24-dic-2026</t>
  </si>
  <si>
    <t xml:space="preserve">Lunes a jueves · 3 h diarias · 11-ene-2027 al 05-feb-2027.</t>
  </si>
  <si>
    <t xml:space="preserve">Evaluación docente por parte de estudiantes (202620-G1): del 01-feb-2027 al 04-feb-2027 — cierra antes del último día de clase.</t>
  </si>
  <si>
    <t xml:space="preserve">15-ene-2027 a 22-ene-2027</t>
  </si>
  <si>
    <t xml:space="preserve">25-ene-2027 a 05-feb-2027</t>
  </si>
  <si>
    <t xml:space="preserve">Evaluación docente ABIERTA (cierra 04-feb-2027)</t>
  </si>
  <si>
    <t xml:space="preserve">Última sesión del módulo · Evaluación docente ABIERTA (cierra 04-feb-2027)</t>
  </si>
  <si>
    <t xml:space="preserve">Lunes a jueves · 3 h diarias · 08-feb-2027 al 05-mar-2027.</t>
  </si>
  <si>
    <t xml:space="preserve">Evaluación docente por parte de estudiantes (202620-G2): del 01-mar-2027 al 04-mar-2027 — cierra antes del último día de clase.</t>
  </si>
  <si>
    <t xml:space="preserve">12-feb-2027 a 19-feb-2027</t>
  </si>
  <si>
    <t xml:space="preserve">22-feb-2027 a 05-mar-2027</t>
  </si>
  <si>
    <t xml:space="preserve">Evaluación docente ABIERTA (cierra 04-mar-2027)</t>
  </si>
  <si>
    <t xml:space="preserve">Última sesión del módulo · Evaluación docente ABIERTA (cierra 04-mar-2027)</t>
  </si>
  <si>
    <t xml:space="preserve">Lunes a jueves · 3 h diarias · 15-mar-2027 al 09-abr-2027.</t>
  </si>
  <si>
    <t xml:space="preserve">Evaluación docente por parte de estudiantes (202620-G3): del 05-abr-2027 al 08-abr-2027 — cierra antes del último día de clase.</t>
  </si>
  <si>
    <t xml:space="preserve">19-mar-2027 a 26-mar-2027</t>
  </si>
  <si>
    <t xml:space="preserve">29-mar-2027 a 09-abr-2027</t>
  </si>
  <si>
    <t xml:space="preserve">Evaluación docente ABIERTA (cierra 08-abr-2027)</t>
  </si>
  <si>
    <t xml:space="preserve">Última sesión del módulo · Evaluación docente ABIERTA (cierra 08-abr-2027)</t>
  </si>
  <si>
    <t xml:space="preserve">Lunes a jueves · 3 h diarias · 12-abr-2027 al 07-may-2027.</t>
  </si>
  <si>
    <t xml:space="preserve">Evaluación docente por parte de estudiantes (202620-G4): del 03-may-2027 al 06-may-2027 — cierra antes del último día de clase.</t>
  </si>
  <si>
    <t xml:space="preserve">16-abr-2027 a 23-abr-2027</t>
  </si>
  <si>
    <t xml:space="preserve">26-abr-2027 a 07-may-2027</t>
  </si>
  <si>
    <t xml:space="preserve">17-may-2027</t>
  </si>
  <si>
    <t xml:space="preserve">En línea / niveles de inglés · sesiones de 1.5 h · 11-ene-2027 al 07-mar-2027. Los recesos no aplican a la modalidad en línea.</t>
  </si>
  <si>
    <t xml:space="preserve">Evaluación docente por parte de estudiantes (202620-G5 / G7): del 01-mar-2027 al 04-mar-2027 — cierra antes del último día de clase.</t>
  </si>
  <si>
    <t xml:space="preserve">15-ene-2027 a 12-feb-2027</t>
  </si>
  <si>
    <t xml:space="preserve">15-feb-2027 a 07-mar-2027</t>
  </si>
  <si>
    <t xml:space="preserve">En línea / niveles de inglés · sesiones de 1.5 h · 15-mar-2027 al 09-may-2027. Los recesos no aplican a la modalidad en línea.</t>
  </si>
  <si>
    <t xml:space="preserve">Evaluación docente por parte de estudiantes (202620-G6 / G8): del 03-may-2027 al 06-may-2027 — cierra antes del último día de clase.</t>
  </si>
  <si>
    <t xml:space="preserve">19-mar-2027 a 16-abr-2027</t>
  </si>
  <si>
    <t xml:space="preserve">19-abr-2027 a 09-may-2027</t>
  </si>
  <si>
    <t xml:space="preserve">18-may-2027</t>
  </si>
  <si>
    <t xml:space="preserve">Lunes a jueves · 3 h diarias · 10-may-2027 al 04-jun-2027.</t>
  </si>
  <si>
    <t xml:space="preserve">Evaluación docente por parte de estudiantes (202630-G1): del 31-may-2027 al 03-jun-2027 — cierra antes del último día de clase.</t>
  </si>
  <si>
    <t xml:space="preserve">11-may-2027</t>
  </si>
  <si>
    <t xml:space="preserve">13-may-2027</t>
  </si>
  <si>
    <t xml:space="preserve">12-may-2027</t>
  </si>
  <si>
    <t xml:space="preserve">14-may-2027 a 21-may-2027</t>
  </si>
  <si>
    <t xml:space="preserve">24-may-2027 a 04-jun-2027</t>
  </si>
  <si>
    <t xml:space="preserve">14-jun-2027</t>
  </si>
  <si>
    <t xml:space="preserve">19-may-2027</t>
  </si>
  <si>
    <t xml:space="preserve">20-may-2027</t>
  </si>
  <si>
    <t xml:space="preserve">26-may-2027</t>
  </si>
  <si>
    <t xml:space="preserve">27-may-2027</t>
  </si>
  <si>
    <t xml:space="preserve">31-may-2027</t>
  </si>
  <si>
    <t xml:space="preserve">Evaluación docente ABIERTA (cierra 03-jun-2027)</t>
  </si>
  <si>
    <t xml:space="preserve">01-jun-2027</t>
  </si>
  <si>
    <t xml:space="preserve">02-jun-2027</t>
  </si>
  <si>
    <t xml:space="preserve">03-jun-2027</t>
  </si>
  <si>
    <t xml:space="preserve">Última sesión del módulo · Evaluación docente ABIERTA (cierra 03-jun-2027)</t>
  </si>
  <si>
    <t xml:space="preserve">Lunes a jueves · 3 h diarias · 07-jun-2027 al 02-jul-2027.</t>
  </si>
  <si>
    <t xml:space="preserve">Evaluación docente por parte de estudiantes (202630-G2): del 28-jun-2027 al 01-jul-2027 — cierra antes del último día de clase.</t>
  </si>
  <si>
    <t xml:space="preserve">08-jun-2027</t>
  </si>
  <si>
    <t xml:space="preserve">10-jun-2027</t>
  </si>
  <si>
    <t xml:space="preserve">09-jun-2027</t>
  </si>
  <si>
    <t xml:space="preserve">11-jun-2027 a 18-jun-2027</t>
  </si>
  <si>
    <t xml:space="preserve">21-jun-2027 a 02-jul-2027</t>
  </si>
  <si>
    <t xml:space="preserve">12-jul-2027</t>
  </si>
  <si>
    <t xml:space="preserve">15-jun-2027</t>
  </si>
  <si>
    <t xml:space="preserve">16-jun-2027</t>
  </si>
  <si>
    <t xml:space="preserve">17-jun-2027</t>
  </si>
  <si>
    <t xml:space="preserve">21-jun-2027</t>
  </si>
  <si>
    <t xml:space="preserve">22-jun-2027</t>
  </si>
  <si>
    <t xml:space="preserve">23-jun-2027</t>
  </si>
  <si>
    <t xml:space="preserve">24-jun-2027</t>
  </si>
  <si>
    <t xml:space="preserve">Evaluación docente ABIERTA (cierra 01-jul-2027)</t>
  </si>
  <si>
    <t xml:space="preserve">29-jun-2027</t>
  </si>
  <si>
    <t xml:space="preserve">30-jun-2027</t>
  </si>
  <si>
    <t xml:space="preserve">01-jul-2027</t>
  </si>
  <si>
    <t xml:space="preserve">Última sesión del módulo · Evaluación docente ABIERTA (cierra 01-jul-2027)</t>
  </si>
  <si>
    <t xml:space="preserve">Lunes a jueves · 3 h diarias · 05-jul-2027 al 30-jul-2027.</t>
  </si>
  <si>
    <t xml:space="preserve">Evaluación docente por parte de estudiantes (202630-G3): del 26-jul-2027 al 29-jul-2027 — cierra antes del último día de clase.</t>
  </si>
  <si>
    <t xml:space="preserve">06-jul-2027</t>
  </si>
  <si>
    <t xml:space="preserve">08-jul-2027</t>
  </si>
  <si>
    <t xml:space="preserve">07-jul-2027</t>
  </si>
  <si>
    <t xml:space="preserve">09-jul-2027 a 16-jul-2027</t>
  </si>
  <si>
    <t xml:space="preserve">19-jul-2027 a 30-jul-2027</t>
  </si>
  <si>
    <t xml:space="preserve">13-jul-2027</t>
  </si>
  <si>
    <t xml:space="preserve">14-jul-2027</t>
  </si>
  <si>
    <t xml:space="preserve">15-jul-2027</t>
  </si>
  <si>
    <t xml:space="preserve">19-jul-2027</t>
  </si>
  <si>
    <t xml:space="preserve">20-jul-2027</t>
  </si>
  <si>
    <t xml:space="preserve">21-jul-2027</t>
  </si>
  <si>
    <t xml:space="preserve">22-jul-2027</t>
  </si>
  <si>
    <t xml:space="preserve">26-jul-2027</t>
  </si>
  <si>
    <t xml:space="preserve">Evaluación docente ABIERTA (cierra 29-jul-2027)</t>
  </si>
  <si>
    <t xml:space="preserve">27-jul-2027</t>
  </si>
  <si>
    <t xml:space="preserve">28-jul-2027</t>
  </si>
  <si>
    <t xml:space="preserve">29-jul-2027</t>
  </si>
  <si>
    <t xml:space="preserve">Última sesión del módulo · Evaluación docente ABIERTA (cierra 29-jul-2027)</t>
  </si>
  <si>
    <t xml:space="preserve">Modalidad en línea · sesiones de 1.5 h · 25-may-2027 al 25-jul-2027. Los recesos académicos no aplican.</t>
  </si>
  <si>
    <t xml:space="preserve">Evaluación docente por parte de estudiantes (202630-G5): del 19-jul-2027 al 22-jul-2027 — cierra antes del último día de clase.</t>
  </si>
  <si>
    <t xml:space="preserve">28-may-2027</t>
  </si>
  <si>
    <t xml:space="preserve">29-may-2027 a 25-jun-2027</t>
  </si>
  <si>
    <t xml:space="preserve">28-jun-2027 a 14-jul-2027</t>
  </si>
  <si>
    <t xml:space="preserve">23-jul-2027</t>
  </si>
  <si>
    <t xml:space="preserve">Trabajo autónomo · Evaluación docente ABIERTA (cierra 22-jul-2027)</t>
  </si>
  <si>
    <t xml:space="preserve">Última sesión del módulo · Evaluación docente ABIERTA (cierra 22-jul-2027)</t>
  </si>
  <si>
    <t xml:space="preserve">Niveles de inglés presencial · sesiones de 1.5 h · 10-may-2027 al 25-jun-2027.</t>
  </si>
  <si>
    <t xml:space="preserve">Evaluación docente por parte de estudiantes (202630-G6): del 21-jun-2027 al 24-jun-2027 — cierra antes del último día de clase.</t>
  </si>
  <si>
    <t xml:space="preserve">14-may-2027 a 11-jun-2027</t>
  </si>
  <si>
    <t xml:space="preserve">21-jun-2027 a 25-jun-2027</t>
  </si>
  <si>
    <t xml:space="preserve">Evaluación docente ABIERTA (cierra 24-jun-2027)</t>
  </si>
  <si>
    <t xml:space="preserve">Última sesión del módulo · Evaluación docente ABIERTA (cierra 24-jun-2027)</t>
  </si>
  <si>
    <t xml:space="preserve">Niveles de inglés presencial · sesiones de 1.5 h · 28-jun-2027 al 13-ago-2027.</t>
  </si>
  <si>
    <t xml:space="preserve">Evaluación docente por parte de estudiantes (202630-G7): del 10-ago-2027 al 12-ago-2027 — cierra antes del último día de clase.</t>
  </si>
  <si>
    <t xml:space="preserve">02-jul-2027 a 30-jul-2027</t>
  </si>
  <si>
    <t xml:space="preserve">09-ago-2027 a 13-ago-2027</t>
  </si>
  <si>
    <t xml:space="preserve">18-ago-2027</t>
  </si>
  <si>
    <t xml:space="preserve">02-ago-2027</t>
  </si>
  <si>
    <t xml:space="preserve">03-ago-2027</t>
  </si>
  <si>
    <t xml:space="preserve">04-ago-2027</t>
  </si>
  <si>
    <t xml:space="preserve">05-ago-2027</t>
  </si>
  <si>
    <t xml:space="preserve">10-ago-2027</t>
  </si>
  <si>
    <t xml:space="preserve">Evaluación docente ABIERTA (cierra 12-ago-2027)</t>
  </si>
  <si>
    <t xml:space="preserve">11-ago-2027</t>
  </si>
  <si>
    <t xml:space="preserve">12-ago-2027</t>
  </si>
  <si>
    <t xml:space="preserve">Última sesión del módulo · Evaluación docente ABIERTA (cierra 12-ago-2027)</t>
  </si>
  <si>
    <t xml:space="preserve">CONTROL INTERNO DE CARGA HORARIA — USO DE COORDINACIÓN, NO COMPARTIR CON PROFESORES</t>
  </si>
  <si>
    <t xml:space="preserve">Meta: 48 horas de contacto por materia. Esta información se retiró de las hojas de los profesores.</t>
  </si>
  <si>
    <t xml:space="preserve">Descripción</t>
  </si>
  <si>
    <t xml:space="preserve">h/sesión</t>
  </si>
  <si>
    <t xml:space="preserve">Horas</t>
  </si>
  <si>
    <t xml:space="preserve">Dif. vs 48 h</t>
  </si>
  <si>
    <t xml:space="preserve">Primer Semestre Galápagos 2026-2027 · semestre completo (Lun-Mié)</t>
  </si>
  <si>
    <t xml:space="preserve">Lun y Mié</t>
  </si>
  <si>
    <t xml:space="preserve">Primer Semestre Galápagos 2026-2027 · semestre completo (Mar-Jue)</t>
  </si>
  <si>
    <t xml:space="preserve">Mar y Jue</t>
  </si>
  <si>
    <t xml:space="preserve">Segundo Semestre Galápagos 2026-2027 · semestre completo (Lun-Mié)</t>
  </si>
  <si>
    <t xml:space="preserve">Segundo Semestre Galápagos 2026-2027 · semestre completo (Mar-Jue)</t>
  </si>
  <si>
    <t xml:space="preserve">Lun a jue</t>
  </si>
  <si>
    <t xml:space="preserve">Total de horas programadas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</si>
</sst>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\+0.0;\-0.0;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9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E4DFEC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DF2F9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F2F2F2"/>
        <bgColor rgb="FFEDF2F9"/>
      </patternFill>
    </fill>
    <fill>
      <patternFill patternType="solid">
        <fgColor rgb="FFEDF2F9"/>
        <bgColor rgb="FFF2F2F2"/>
      </patternFill>
    </fill>
    <fill>
      <patternFill patternType="solid">
        <fgColor rgb="FFC6E0B4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9"/>
      <rgbColor rgb="FFE2EFDA"/>
      <rgbColor rgb="FFFFE699"/>
      <rgbColor rgb="FFC6E0B4"/>
      <rgbColor rgb="FFFCE4D6"/>
      <rgbColor rgb="FFE4DFEC"/>
      <rgbColor rgb="FFF8CBAD"/>
      <rgbColor rgb="FF3366FF"/>
      <rgbColor rgb="FF33CCCC"/>
      <rgbColor rgb="FF99CC00"/>
      <rgbColor rgb="FFFFCC00"/>
      <rgbColor rgb="FFFF9900"/>
      <rgbColor rgb="FFC55A11"/>
      <rgbColor rgb="FF555555"/>
      <rgbColor rgb="FFB0B0B0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1</v>
      </c>
      <c r="K2" s="4" t="s">
        <v>2</v>
      </c>
    </row>
    <row r="3" customFormat="false" ht="15" hidden="false" customHeight="true" outlineLevel="0" collapsed="false">
      <c r="B3" s="5" t="s">
        <v>3</v>
      </c>
      <c r="K3" s="6" t="s">
        <v>4</v>
      </c>
      <c r="L3" s="7" t="n">
        <f aca="false">COUNTIF(F12:F45,"Clase")</f>
        <v>31</v>
      </c>
    </row>
    <row r="4" customFormat="false" ht="15" hidden="false" customHeight="true" outlineLevel="0" collapsed="false">
      <c r="B4" s="8" t="s">
        <v>5</v>
      </c>
      <c r="K4" s="6" t="s">
        <v>6</v>
      </c>
      <c r="L4" s="7" t="n">
        <f aca="false">COUNTIF(F12:F45,"Asincrónico")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COUNTIF(F12:F45,"FERIADO")+COUNTIF(F12:F45,"RECESO")</f>
        <v>3</v>
      </c>
    </row>
    <row r="6" customFormat="false" ht="15" hidden="false" customHeight="true" outlineLevel="0" collapsed="false">
      <c r="K6" s="6" t="s">
        <v>8</v>
      </c>
      <c r="L6" s="7" t="n">
        <f aca="false">MAX(B12:B45)</f>
        <v>17</v>
      </c>
    </row>
    <row r="7" customFormat="false" ht="15" hidden="false" customHeight="true" outlineLevel="0" collapsed="false">
      <c r="K7" s="6" t="s">
        <v>9</v>
      </c>
      <c r="L7" s="9" t="str">
        <f aca="false">"07-dic-2026 al 10-dic-2026"</f>
        <v>07-dic-2026 al 10-dic-2026</v>
      </c>
    </row>
    <row r="9" customFormat="false" ht="15" hidden="false" customHeight="false" outlineLevel="0" collapsed="false">
      <c r="B9" s="10" t="s">
        <v>10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19</v>
      </c>
      <c r="E12" s="12" t="s">
        <v>20</v>
      </c>
      <c r="F12" s="12" t="s">
        <v>21</v>
      </c>
      <c r="G12" s="13" t="s">
        <v>22</v>
      </c>
      <c r="H12" s="13" t="s">
        <v>23</v>
      </c>
      <c r="I12" s="14"/>
    </row>
    <row r="13" customFormat="false" ht="1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24</v>
      </c>
      <c r="E13" s="12" t="s">
        <v>25</v>
      </c>
      <c r="F13" s="12" t="s">
        <v>21</v>
      </c>
      <c r="G13" s="13" t="s">
        <v>26</v>
      </c>
      <c r="H13" s="13" t="s">
        <v>27</v>
      </c>
      <c r="I13" s="14"/>
    </row>
    <row r="14" customFormat="false" ht="15" hidden="false" customHeight="true" outlineLevel="0" collapsed="false">
      <c r="B14" s="12" t="n">
        <v>2</v>
      </c>
      <c r="C14" s="12" t="n">
        <f aca="false">IF(OR(F14="FERIADO",F14="RECESO"),"—",ROWS($F$12:F14)-COUNTIF($F$12:F14,"FERIADO")-COUNTIF($F$12:F14,"RECESO"))</f>
        <v>3</v>
      </c>
      <c r="D14" s="12" t="s">
        <v>28</v>
      </c>
      <c r="E14" s="12" t="s">
        <v>20</v>
      </c>
      <c r="F14" s="12" t="s">
        <v>21</v>
      </c>
      <c r="G14" s="13" t="s">
        <v>29</v>
      </c>
      <c r="H14" s="13"/>
      <c r="I14" s="14"/>
    </row>
    <row r="15" customFormat="false" ht="15" hidden="false" customHeight="true" outlineLevel="0" collapsed="false">
      <c r="B15" s="12" t="n">
        <v>2</v>
      </c>
      <c r="C15" s="12" t="n">
        <f aca="false">IF(OR(F15="FERIADO",F15="RECESO"),"—",ROWS($F$12:F15)-COUNTIF($F$12:F15,"FERIADO")-COUNTIF($F$12:F15,"RECESO"))</f>
        <v>4</v>
      </c>
      <c r="D15" s="12" t="s">
        <v>30</v>
      </c>
      <c r="E15" s="12" t="s">
        <v>25</v>
      </c>
      <c r="F15" s="12" t="s">
        <v>21</v>
      </c>
      <c r="G15" s="13" t="s">
        <v>31</v>
      </c>
      <c r="H15" s="13" t="s">
        <v>32</v>
      </c>
      <c r="I15" s="14"/>
    </row>
    <row r="16" customFormat="false" ht="15" hidden="false" customHeight="true" outlineLevel="0" collapsed="false">
      <c r="B16" s="12" t="n">
        <v>3</v>
      </c>
      <c r="C16" s="12" t="n">
        <f aca="false">IF(OR(F16="FERIADO",F16="RECESO"),"—",ROWS($F$12:F16)-COUNTIF($F$12:F16,"FERIADO")-COUNTIF($F$12:F16,"RECESO"))</f>
        <v>5</v>
      </c>
      <c r="D16" s="12" t="s">
        <v>33</v>
      </c>
      <c r="E16" s="12" t="s">
        <v>20</v>
      </c>
      <c r="F16" s="12" t="s">
        <v>21</v>
      </c>
      <c r="G16" s="13" t="s">
        <v>34</v>
      </c>
      <c r="H16" s="13"/>
      <c r="I16" s="14"/>
    </row>
    <row r="17" customFormat="false" ht="15" hidden="false" customHeight="true" outlineLevel="0" collapsed="false">
      <c r="B17" s="12" t="n">
        <v>3</v>
      </c>
      <c r="C17" s="12" t="n">
        <f aca="false">IF(OR(F17="FERIADO",F17="RECESO"),"—",ROWS($F$12:F17)-COUNTIF($F$12:F17,"FERIADO")-COUNTIF($F$12:F17,"RECESO"))</f>
        <v>6</v>
      </c>
      <c r="D17" s="12" t="s">
        <v>35</v>
      </c>
      <c r="E17" s="12" t="s">
        <v>25</v>
      </c>
      <c r="F17" s="12" t="s">
        <v>21</v>
      </c>
      <c r="G17" s="13" t="s">
        <v>36</v>
      </c>
      <c r="H17" s="13" t="s">
        <v>37</v>
      </c>
      <c r="I17" s="14"/>
    </row>
    <row r="18" customFormat="false" ht="15" hidden="false" customHeight="true" outlineLevel="0" collapsed="false">
      <c r="B18" s="12" t="n">
        <v>4</v>
      </c>
      <c r="C18" s="12" t="n">
        <f aca="false">IF(OR(F18="FERIADO",F18="RECESO"),"—",ROWS($F$12:F18)-COUNTIF($F$12:F18,"FERIADO")-COUNTIF($F$12:F18,"RECESO"))</f>
        <v>7</v>
      </c>
      <c r="D18" s="12" t="s">
        <v>38</v>
      </c>
      <c r="E18" s="12" t="s">
        <v>20</v>
      </c>
      <c r="F18" s="12" t="s">
        <v>21</v>
      </c>
      <c r="G18" s="13" t="s">
        <v>39</v>
      </c>
      <c r="H18" s="13"/>
      <c r="I18" s="14"/>
    </row>
    <row r="19" customFormat="false" ht="15" hidden="false" customHeight="true" outlineLevel="0" collapsed="false">
      <c r="B19" s="12" t="n">
        <v>4</v>
      </c>
      <c r="C19" s="12" t="n">
        <f aca="false">IF(OR(F19="FERIADO",F19="RECESO"),"—",ROWS($F$12:F19)-COUNTIF($F$12:F19,"FERIADO")-COUNTIF($F$12:F19,"RECESO"))</f>
        <v>8</v>
      </c>
      <c r="D19" s="12" t="s">
        <v>40</v>
      </c>
      <c r="E19" s="12" t="s">
        <v>25</v>
      </c>
      <c r="F19" s="12" t="s">
        <v>21</v>
      </c>
      <c r="G19" s="13" t="s">
        <v>41</v>
      </c>
      <c r="H19" s="13" t="s">
        <v>42</v>
      </c>
      <c r="I19" s="14"/>
    </row>
    <row r="20" customFormat="false" ht="15" hidden="false" customHeight="true" outlineLevel="0" collapsed="false">
      <c r="B20" s="12" t="n">
        <v>5</v>
      </c>
      <c r="C20" s="12" t="n">
        <f aca="false">IF(OR(F20="FERIADO",F20="RECESO"),"—",ROWS($F$12:F20)-COUNTIF($F$12:F20,"FERIADO")-COUNTIF($F$12:F20,"RECESO"))</f>
        <v>9</v>
      </c>
      <c r="D20" s="12" t="s">
        <v>43</v>
      </c>
      <c r="E20" s="12" t="s">
        <v>20</v>
      </c>
      <c r="F20" s="12" t="s">
        <v>21</v>
      </c>
      <c r="G20" s="13" t="s">
        <v>44</v>
      </c>
      <c r="H20" s="13"/>
      <c r="I20" s="14"/>
    </row>
    <row r="21" customFormat="false" ht="15" hidden="false" customHeight="true" outlineLevel="0" collapsed="false">
      <c r="B21" s="12" t="n">
        <v>5</v>
      </c>
      <c r="C21" s="12" t="n">
        <f aca="false">IF(OR(F21="FERIADO",F21="RECESO"),"—",ROWS($F$12:F21)-COUNTIF($F$12:F21,"FERIADO")-COUNTIF($F$12:F21,"RECESO"))</f>
        <v>10</v>
      </c>
      <c r="D21" s="12" t="s">
        <v>45</v>
      </c>
      <c r="E21" s="12" t="s">
        <v>25</v>
      </c>
      <c r="F21" s="12" t="s">
        <v>21</v>
      </c>
      <c r="G21" s="13" t="s">
        <v>46</v>
      </c>
      <c r="H21" s="13" t="s">
        <v>47</v>
      </c>
      <c r="I21" s="14"/>
    </row>
    <row r="22" customFormat="false" ht="15" hidden="false" customHeight="true" outlineLevel="0" collapsed="false">
      <c r="B22" s="12" t="n">
        <v>6</v>
      </c>
      <c r="C22" s="12" t="n">
        <f aca="false">IF(OR(F22="FERIADO",F22="RECESO"),"—",ROWS($F$12:F22)-COUNTIF($F$12:F22,"FERIADO")-COUNTIF($F$12:F22,"RECESO"))</f>
        <v>11</v>
      </c>
      <c r="D22" s="12" t="s">
        <v>48</v>
      </c>
      <c r="E22" s="12" t="s">
        <v>20</v>
      </c>
      <c r="F22" s="12" t="s">
        <v>21</v>
      </c>
      <c r="G22" s="13" t="s">
        <v>49</v>
      </c>
      <c r="H22" s="13" t="s">
        <v>50</v>
      </c>
      <c r="I22" s="14"/>
    </row>
    <row r="23" customFormat="false" ht="15" hidden="false" customHeight="true" outlineLevel="0" collapsed="false">
      <c r="B23" s="12" t="n">
        <v>6</v>
      </c>
      <c r="C23" s="12" t="n">
        <f aca="false">IF(OR(F23="FERIADO",F23="RECESO"),"—",ROWS($F$12:F23)-COUNTIF($F$12:F23,"FERIADO")-COUNTIF($F$12:F23,"RECESO"))</f>
        <v>12</v>
      </c>
      <c r="D23" s="12" t="s">
        <v>51</v>
      </c>
      <c r="E23" s="12" t="s">
        <v>25</v>
      </c>
      <c r="F23" s="12" t="s">
        <v>21</v>
      </c>
      <c r="G23" s="13" t="s">
        <v>52</v>
      </c>
      <c r="H23" s="13" t="s">
        <v>53</v>
      </c>
      <c r="I23" s="14"/>
    </row>
    <row r="24" customFormat="false" ht="15" hidden="false" customHeight="true" outlineLevel="0" collapsed="false">
      <c r="B24" s="12" t="n">
        <v>7</v>
      </c>
      <c r="C24" s="12" t="n">
        <f aca="false">IF(OR(F24="FERIADO",F24="RECESO"),"—",ROWS($F$12:F24)-COUNTIF($F$12:F24,"FERIADO")-COUNTIF($F$12:F24,"RECESO"))</f>
        <v>13</v>
      </c>
      <c r="D24" s="12" t="s">
        <v>54</v>
      </c>
      <c r="E24" s="12" t="s">
        <v>20</v>
      </c>
      <c r="F24" s="12" t="s">
        <v>21</v>
      </c>
      <c r="G24" s="13" t="s">
        <v>55</v>
      </c>
      <c r="H24" s="13"/>
      <c r="I24" s="14"/>
    </row>
    <row r="25" customFormat="false" ht="15" hidden="false" customHeight="true" outlineLevel="0" collapsed="false">
      <c r="B25" s="12" t="n">
        <v>7</v>
      </c>
      <c r="C25" s="12" t="n">
        <f aca="false">IF(OR(F25="FERIADO",F25="RECESO"),"—",ROWS($F$12:F25)-COUNTIF($F$12:F25,"FERIADO")-COUNTIF($F$12:F25,"RECESO"))</f>
        <v>14</v>
      </c>
      <c r="D25" s="12" t="s">
        <v>56</v>
      </c>
      <c r="E25" s="12" t="s">
        <v>25</v>
      </c>
      <c r="F25" s="12" t="s">
        <v>21</v>
      </c>
      <c r="G25" s="13" t="s">
        <v>57</v>
      </c>
      <c r="H25" s="13" t="s">
        <v>58</v>
      </c>
      <c r="I25" s="14"/>
    </row>
    <row r="26" customFormat="false" ht="15" hidden="false" customHeight="true" outlineLevel="0" collapsed="false">
      <c r="B26" s="12" t="n">
        <v>8</v>
      </c>
      <c r="C26" s="12" t="n">
        <f aca="false">IF(OR(F26="FERIADO",F26="RECESO"),"—",ROWS($F$12:F26)-COUNTIF($F$12:F26,"FERIADO")-COUNTIF($F$12:F26,"RECESO"))</f>
        <v>15</v>
      </c>
      <c r="D26" s="12" t="s">
        <v>59</v>
      </c>
      <c r="E26" s="12" t="s">
        <v>20</v>
      </c>
      <c r="F26" s="12" t="s">
        <v>21</v>
      </c>
      <c r="G26" s="13" t="s">
        <v>60</v>
      </c>
      <c r="H26" s="13"/>
      <c r="I26" s="14"/>
    </row>
    <row r="27" customFormat="false" ht="15" hidden="false" customHeight="true" outlineLevel="0" collapsed="false">
      <c r="B27" s="9" t="n">
        <v>8</v>
      </c>
      <c r="C27" s="9" t="n">
        <f aca="false">IF(OR(F27="FERIADO",F27="RECESO"),"—",ROWS($F$12:F27)-COUNTIF($F$12:F27,"FERIADO")-COUNTIF($F$12:F27,"RECESO"))</f>
        <v>16</v>
      </c>
      <c r="D27" s="9" t="s">
        <v>61</v>
      </c>
      <c r="E27" s="9" t="s">
        <v>25</v>
      </c>
      <c r="F27" s="9" t="s">
        <v>21</v>
      </c>
      <c r="G27" s="15" t="s">
        <v>62</v>
      </c>
      <c r="H27" s="15" t="s">
        <v>63</v>
      </c>
      <c r="I27" s="16"/>
    </row>
    <row r="28" customFormat="false" ht="23.25" hidden="false" customHeight="true" outlineLevel="0" collapsed="false">
      <c r="B28" s="17" t="n">
        <v>9</v>
      </c>
      <c r="C28" s="17" t="str">
        <f aca="false">IF(OR(F28="FERIADO",F28="RECESO"),"—",ROWS($F$12:F28)-COUNTIF($F$12:F28,"FERIADO")-COUNTIF($F$12:F28,"RECESO"))</f>
        <v>—</v>
      </c>
      <c r="D28" s="17" t="s">
        <v>64</v>
      </c>
      <c r="E28" s="17" t="s">
        <v>20</v>
      </c>
      <c r="F28" s="17" t="s">
        <v>65</v>
      </c>
      <c r="G28" s="18"/>
      <c r="H28" s="18"/>
      <c r="I28" s="18" t="s">
        <v>66</v>
      </c>
    </row>
    <row r="29" customFormat="false" ht="23.25" hidden="false" customHeight="true" outlineLevel="0" collapsed="false">
      <c r="B29" s="17" t="n">
        <v>9</v>
      </c>
      <c r="C29" s="17" t="str">
        <f aca="false">IF(OR(F29="FERIADO",F29="RECESO"),"—",ROWS($F$12:F29)-COUNTIF($F$12:F29,"FERIADO")-COUNTIF($F$12:F29,"RECESO"))</f>
        <v>—</v>
      </c>
      <c r="D29" s="17" t="s">
        <v>67</v>
      </c>
      <c r="E29" s="17" t="s">
        <v>25</v>
      </c>
      <c r="F29" s="17" t="s">
        <v>65</v>
      </c>
      <c r="G29" s="18"/>
      <c r="H29" s="18"/>
      <c r="I29" s="18" t="s">
        <v>66</v>
      </c>
    </row>
    <row r="30" customFormat="false" ht="15" hidden="false" customHeight="true" outlineLevel="0" collapsed="false">
      <c r="B30" s="12" t="n">
        <v>10</v>
      </c>
      <c r="C30" s="12" t="n">
        <f aca="false">IF(OR(F30="FERIADO",F30="RECESO"),"—",ROWS($F$12:F30)-COUNTIF($F$12:F30,"FERIADO")-COUNTIF($F$12:F30,"RECESO"))</f>
        <v>17</v>
      </c>
      <c r="D30" s="12" t="s">
        <v>68</v>
      </c>
      <c r="E30" s="12" t="s">
        <v>20</v>
      </c>
      <c r="F30" s="12" t="s">
        <v>21</v>
      </c>
      <c r="G30" s="13" t="s">
        <v>69</v>
      </c>
      <c r="H30" s="13" t="s">
        <v>70</v>
      </c>
      <c r="I30" s="14"/>
    </row>
    <row r="31" customFormat="false" ht="15" hidden="false" customHeight="true" outlineLevel="0" collapsed="false">
      <c r="B31" s="12" t="n">
        <v>10</v>
      </c>
      <c r="C31" s="12" t="n">
        <f aca="false">IF(OR(F31="FERIADO",F31="RECESO"),"—",ROWS($F$12:F31)-COUNTIF($F$12:F31,"FERIADO")-COUNTIF($F$12:F31,"RECESO"))</f>
        <v>18</v>
      </c>
      <c r="D31" s="12" t="s">
        <v>71</v>
      </c>
      <c r="E31" s="12" t="s">
        <v>25</v>
      </c>
      <c r="F31" s="12" t="s">
        <v>21</v>
      </c>
      <c r="G31" s="13" t="s">
        <v>72</v>
      </c>
      <c r="H31" s="13" t="s">
        <v>73</v>
      </c>
      <c r="I31" s="14"/>
    </row>
    <row r="32" customFormat="false" ht="15" hidden="false" customHeight="true" outlineLevel="0" collapsed="false">
      <c r="B32" s="12" t="n">
        <v>11</v>
      </c>
      <c r="C32" s="12" t="n">
        <f aca="false">IF(OR(F32="FERIADO",F32="RECESO"),"—",ROWS($F$12:F32)-COUNTIF($F$12:F32,"FERIADO")-COUNTIF($F$12:F32,"RECESO"))</f>
        <v>19</v>
      </c>
      <c r="D32" s="12" t="s">
        <v>74</v>
      </c>
      <c r="E32" s="12" t="s">
        <v>20</v>
      </c>
      <c r="F32" s="12" t="s">
        <v>21</v>
      </c>
      <c r="G32" s="13" t="s">
        <v>75</v>
      </c>
      <c r="H32" s="13"/>
      <c r="I32" s="14"/>
    </row>
    <row r="33" customFormat="false" ht="15" hidden="false" customHeight="true" outlineLevel="0" collapsed="false">
      <c r="B33" s="12" t="n">
        <v>11</v>
      </c>
      <c r="C33" s="12" t="n">
        <f aca="false">IF(OR(F33="FERIADO",F33="RECESO"),"—",ROWS($F$12:F33)-COUNTIF($F$12:F33,"FERIADO")-COUNTIF($F$12:F33,"RECESO"))</f>
        <v>20</v>
      </c>
      <c r="D33" s="12" t="s">
        <v>76</v>
      </c>
      <c r="E33" s="12" t="s">
        <v>25</v>
      </c>
      <c r="F33" s="12" t="s">
        <v>21</v>
      </c>
      <c r="G33" s="13" t="s">
        <v>77</v>
      </c>
      <c r="H33" s="13" t="s">
        <v>78</v>
      </c>
      <c r="I33" s="14"/>
    </row>
    <row r="34" customFormat="false" ht="15" hidden="false" customHeight="true" outlineLevel="0" collapsed="false">
      <c r="B34" s="19" t="n">
        <v>12</v>
      </c>
      <c r="C34" s="19" t="str">
        <f aca="false">IF(OR(F34="FERIADO",F34="RECESO"),"—",ROWS($F$12:F34)-COUNTIF($F$12:F34,"FERIADO")-COUNTIF($F$12:F34,"RECESO"))</f>
        <v>—</v>
      </c>
      <c r="D34" s="19" t="s">
        <v>79</v>
      </c>
      <c r="E34" s="19" t="s">
        <v>20</v>
      </c>
      <c r="F34" s="19" t="s">
        <v>80</v>
      </c>
      <c r="G34" s="20"/>
      <c r="H34" s="20"/>
      <c r="I34" s="20" t="s">
        <v>81</v>
      </c>
    </row>
    <row r="35" customFormat="false" ht="15" hidden="false" customHeight="true" outlineLevel="0" collapsed="false">
      <c r="B35" s="12" t="n">
        <v>12</v>
      </c>
      <c r="C35" s="12" t="n">
        <f aca="false">IF(OR(F35="FERIADO",F35="RECESO"),"—",ROWS($F$12:F35)-COUNTIF($F$12:F35,"FERIADO")-COUNTIF($F$12:F35,"RECESO"))</f>
        <v>21</v>
      </c>
      <c r="D35" s="12" t="s">
        <v>82</v>
      </c>
      <c r="E35" s="12" t="s">
        <v>25</v>
      </c>
      <c r="F35" s="12" t="s">
        <v>21</v>
      </c>
      <c r="G35" s="13" t="s">
        <v>83</v>
      </c>
      <c r="H35" s="13" t="s">
        <v>84</v>
      </c>
      <c r="I35" s="14"/>
    </row>
    <row r="36" customFormat="false" ht="15" hidden="false" customHeight="true" outlineLevel="0" collapsed="false">
      <c r="B36" s="12" t="n">
        <v>13</v>
      </c>
      <c r="C36" s="12" t="n">
        <f aca="false">IF(OR(F36="FERIADO",F36="RECESO"),"—",ROWS($F$12:F36)-COUNTIF($F$12:F36,"FERIADO")-COUNTIF($F$12:F36,"RECESO"))</f>
        <v>22</v>
      </c>
      <c r="D36" s="12" t="s">
        <v>85</v>
      </c>
      <c r="E36" s="12" t="s">
        <v>20</v>
      </c>
      <c r="F36" s="12" t="s">
        <v>21</v>
      </c>
      <c r="G36" s="13" t="s">
        <v>86</v>
      </c>
      <c r="H36" s="13"/>
      <c r="I36" s="14"/>
    </row>
    <row r="37" customFormat="false" ht="15" hidden="false" customHeight="true" outlineLevel="0" collapsed="false">
      <c r="B37" s="12" t="n">
        <v>13</v>
      </c>
      <c r="C37" s="12" t="n">
        <f aca="false">IF(OR(F37="FERIADO",F37="RECESO"),"—",ROWS($F$12:F37)-COUNTIF($F$12:F37,"FERIADO")-COUNTIF($F$12:F37,"RECESO"))</f>
        <v>23</v>
      </c>
      <c r="D37" s="12" t="s">
        <v>87</v>
      </c>
      <c r="E37" s="12" t="s">
        <v>25</v>
      </c>
      <c r="F37" s="12" t="s">
        <v>21</v>
      </c>
      <c r="G37" s="13" t="s">
        <v>88</v>
      </c>
      <c r="H37" s="13" t="s">
        <v>89</v>
      </c>
      <c r="I37" s="14"/>
    </row>
    <row r="38" customFormat="false" ht="15" hidden="false" customHeight="true" outlineLevel="0" collapsed="false">
      <c r="B38" s="12" t="n">
        <v>14</v>
      </c>
      <c r="C38" s="12" t="n">
        <f aca="false">IF(OR(F38="FERIADO",F38="RECESO"),"—",ROWS($F$12:F38)-COUNTIF($F$12:F38,"FERIADO")-COUNTIF($F$12:F38,"RECESO"))</f>
        <v>24</v>
      </c>
      <c r="D38" s="12" t="s">
        <v>90</v>
      </c>
      <c r="E38" s="12" t="s">
        <v>20</v>
      </c>
      <c r="F38" s="12" t="s">
        <v>21</v>
      </c>
      <c r="G38" s="13" t="s">
        <v>91</v>
      </c>
      <c r="H38" s="13"/>
      <c r="I38" s="14"/>
    </row>
    <row r="39" customFormat="false" ht="15" hidden="false" customHeight="true" outlineLevel="0" collapsed="false">
      <c r="B39" s="12" t="n">
        <v>14</v>
      </c>
      <c r="C39" s="12" t="n">
        <f aca="false">IF(OR(F39="FERIADO",F39="RECESO"),"—",ROWS($F$12:F39)-COUNTIF($F$12:F39,"FERIADO")-COUNTIF($F$12:F39,"RECESO"))</f>
        <v>25</v>
      </c>
      <c r="D39" s="12" t="s">
        <v>92</v>
      </c>
      <c r="E39" s="12" t="s">
        <v>25</v>
      </c>
      <c r="F39" s="12" t="s">
        <v>21</v>
      </c>
      <c r="G39" s="13" t="s">
        <v>93</v>
      </c>
      <c r="H39" s="13" t="s">
        <v>94</v>
      </c>
      <c r="I39" s="14"/>
    </row>
    <row r="40" customFormat="false" ht="15" hidden="false" customHeight="true" outlineLevel="0" collapsed="false">
      <c r="B40" s="12" t="n">
        <v>15</v>
      </c>
      <c r="C40" s="12" t="n">
        <f aca="false">IF(OR(F40="FERIADO",F40="RECESO"),"—",ROWS($F$12:F40)-COUNTIF($F$12:F40,"FERIADO")-COUNTIF($F$12:F40,"RECESO"))</f>
        <v>26</v>
      </c>
      <c r="D40" s="12" t="s">
        <v>95</v>
      </c>
      <c r="E40" s="12" t="s">
        <v>20</v>
      </c>
      <c r="F40" s="12" t="s">
        <v>21</v>
      </c>
      <c r="G40" s="13" t="s">
        <v>96</v>
      </c>
      <c r="H40" s="13"/>
      <c r="I40" s="14"/>
    </row>
    <row r="41" customFormat="false" ht="15" hidden="false" customHeight="true" outlineLevel="0" collapsed="false">
      <c r="B41" s="12" t="n">
        <v>15</v>
      </c>
      <c r="C41" s="12" t="n">
        <f aca="false">IF(OR(F41="FERIADO",F41="RECESO"),"—",ROWS($F$12:F41)-COUNTIF($F$12:F41,"FERIADO")-COUNTIF($F$12:F41,"RECESO"))</f>
        <v>27</v>
      </c>
      <c r="D41" s="12" t="s">
        <v>97</v>
      </c>
      <c r="E41" s="12" t="s">
        <v>25</v>
      </c>
      <c r="F41" s="12" t="s">
        <v>21</v>
      </c>
      <c r="G41" s="13" t="s">
        <v>98</v>
      </c>
      <c r="H41" s="13" t="s">
        <v>99</v>
      </c>
      <c r="I41" s="14"/>
    </row>
    <row r="42" customFormat="false" ht="15" hidden="false" customHeight="true" outlineLevel="0" collapsed="false">
      <c r="B42" s="12" t="n">
        <v>16</v>
      </c>
      <c r="C42" s="12" t="n">
        <f aca="false">IF(OR(F42="FERIADO",F42="RECESO"),"—",ROWS($F$12:F42)-COUNTIF($F$12:F42,"FERIADO")-COUNTIF($F$12:F42,"RECESO"))</f>
        <v>28</v>
      </c>
      <c r="D42" s="12" t="s">
        <v>100</v>
      </c>
      <c r="E42" s="12" t="s">
        <v>20</v>
      </c>
      <c r="F42" s="12" t="s">
        <v>21</v>
      </c>
      <c r="G42" s="13" t="s">
        <v>101</v>
      </c>
      <c r="H42" s="13"/>
      <c r="I42" s="14"/>
    </row>
    <row r="43" customFormat="false" ht="15" hidden="false" customHeight="true" outlineLevel="0" collapsed="false">
      <c r="B43" s="12" t="n">
        <v>16</v>
      </c>
      <c r="C43" s="12" t="n">
        <f aca="false">IF(OR(F43="FERIADO",F43="RECESO"),"—",ROWS($F$12:F43)-COUNTIF($F$12:F43,"FERIADO")-COUNTIF($F$12:F43,"RECESO"))</f>
        <v>29</v>
      </c>
      <c r="D43" s="12" t="s">
        <v>102</v>
      </c>
      <c r="E43" s="12" t="s">
        <v>25</v>
      </c>
      <c r="F43" s="12" t="s">
        <v>21</v>
      </c>
      <c r="G43" s="13" t="s">
        <v>103</v>
      </c>
      <c r="H43" s="13" t="s">
        <v>104</v>
      </c>
      <c r="I43" s="14"/>
    </row>
    <row r="44" customFormat="false" ht="15" hidden="false" customHeight="true" outlineLevel="0" collapsed="false">
      <c r="B44" s="21" t="n">
        <v>17</v>
      </c>
      <c r="C44" s="21" t="n">
        <f aca="false">IF(OR(F44="FERIADO",F44="RECESO"),"—",ROWS($F$12:F44)-COUNTIF($F$12:F44,"FERIADO")-COUNTIF($F$12:F44,"RECESO"))</f>
        <v>30</v>
      </c>
      <c r="D44" s="21" t="s">
        <v>105</v>
      </c>
      <c r="E44" s="21" t="s">
        <v>20</v>
      </c>
      <c r="F44" s="21" t="s">
        <v>21</v>
      </c>
      <c r="G44" s="22" t="s">
        <v>106</v>
      </c>
      <c r="H44" s="22" t="s">
        <v>107</v>
      </c>
      <c r="I44" s="23" t="s">
        <v>108</v>
      </c>
    </row>
    <row r="45" customFormat="false" ht="23.25" hidden="false" customHeight="true" outlineLevel="0" collapsed="false">
      <c r="B45" s="21" t="n">
        <v>17</v>
      </c>
      <c r="C45" s="21" t="n">
        <f aca="false">IF(OR(F45="FERIADO",F45="RECESO"),"—",ROWS($F$12:F45)-COUNTIF($F$12:F45,"FERIADO")-COUNTIF($F$12:F45,"RECESO"))</f>
        <v>31</v>
      </c>
      <c r="D45" s="21" t="s">
        <v>109</v>
      </c>
      <c r="E45" s="21" t="s">
        <v>25</v>
      </c>
      <c r="F45" s="24" t="s">
        <v>21</v>
      </c>
      <c r="G45" s="22" t="s">
        <v>110</v>
      </c>
      <c r="H45" s="22" t="s">
        <v>111</v>
      </c>
      <c r="I45" s="23" t="s">
        <v>112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74"/>
    <col collapsed="false" customWidth="true" hidden="false" outlineLevel="0" max="8" min="8" style="0" width="44"/>
    <col collapsed="false" customWidth="true" hidden="false" outlineLevel="0" max="9" min="9" style="0" width="52"/>
  </cols>
  <sheetData>
    <row r="1" customFormat="false" ht="30" hidden="false" customHeight="true" outlineLevel="0" collapsed="false">
      <c r="A1" s="25" t="s">
        <v>113</v>
      </c>
      <c r="B1" s="25" t="s">
        <v>13</v>
      </c>
      <c r="C1" s="25" t="s">
        <v>14</v>
      </c>
      <c r="D1" s="25" t="s">
        <v>114</v>
      </c>
      <c r="E1" s="25" t="s">
        <v>115</v>
      </c>
      <c r="F1" s="25" t="s">
        <v>16</v>
      </c>
      <c r="G1" s="25" t="s">
        <v>116</v>
      </c>
      <c r="H1" s="25" t="s">
        <v>117</v>
      </c>
      <c r="I1" s="25" t="s">
        <v>118</v>
      </c>
    </row>
    <row r="2" customFormat="false" ht="35.05" hidden="false" customHeight="false" outlineLevel="0" collapsed="false">
      <c r="A2" s="26" t="n">
        <v>1</v>
      </c>
      <c r="B2" s="26" t="s">
        <v>19</v>
      </c>
      <c r="C2" s="26" t="s">
        <v>20</v>
      </c>
      <c r="D2" s="26" t="n">
        <v>1</v>
      </c>
      <c r="E2" s="27" t="s">
        <v>119</v>
      </c>
      <c r="F2" s="27" t="s">
        <v>120</v>
      </c>
      <c r="G2" s="27" t="s">
        <v>121</v>
      </c>
      <c r="H2" s="27" t="s">
        <v>23</v>
      </c>
      <c r="I2" s="27"/>
    </row>
    <row r="3" customFormat="false" ht="35.05" hidden="false" customHeight="false" outlineLevel="0" collapsed="false">
      <c r="A3" s="26" t="n">
        <v>2</v>
      </c>
      <c r="B3" s="26" t="s">
        <v>24</v>
      </c>
      <c r="C3" s="26" t="s">
        <v>25</v>
      </c>
      <c r="D3" s="26" t="n">
        <v>1</v>
      </c>
      <c r="E3" s="27" t="s">
        <v>119</v>
      </c>
      <c r="F3" s="27" t="s">
        <v>122</v>
      </c>
      <c r="G3" s="27" t="s">
        <v>123</v>
      </c>
      <c r="H3" s="27" t="s">
        <v>27</v>
      </c>
      <c r="I3" s="27" t="s">
        <v>124</v>
      </c>
    </row>
    <row r="4" customFormat="false" ht="23.85" hidden="false" customHeight="false" outlineLevel="0" collapsed="false">
      <c r="A4" s="26" t="n">
        <v>3</v>
      </c>
      <c r="B4" s="26" t="s">
        <v>28</v>
      </c>
      <c r="C4" s="26" t="s">
        <v>20</v>
      </c>
      <c r="D4" s="26" t="n">
        <v>2</v>
      </c>
      <c r="E4" s="27" t="s">
        <v>119</v>
      </c>
      <c r="F4" s="27" t="s">
        <v>125</v>
      </c>
      <c r="G4" s="27" t="s">
        <v>126</v>
      </c>
      <c r="H4" s="27"/>
      <c r="I4" s="27"/>
    </row>
    <row r="5" customFormat="false" ht="23.85" hidden="false" customHeight="false" outlineLevel="0" collapsed="false">
      <c r="A5" s="26" t="n">
        <v>4</v>
      </c>
      <c r="B5" s="26" t="s">
        <v>30</v>
      </c>
      <c r="C5" s="26" t="s">
        <v>25</v>
      </c>
      <c r="D5" s="26" t="n">
        <v>2</v>
      </c>
      <c r="E5" s="27" t="s">
        <v>119</v>
      </c>
      <c r="F5" s="27" t="s">
        <v>127</v>
      </c>
      <c r="G5" s="27" t="s">
        <v>128</v>
      </c>
      <c r="H5" s="27" t="s">
        <v>32</v>
      </c>
      <c r="I5" s="27" t="s">
        <v>129</v>
      </c>
    </row>
    <row r="6" customFormat="false" ht="23.85" hidden="false" customHeight="false" outlineLevel="0" collapsed="false">
      <c r="A6" s="26" t="n">
        <v>5</v>
      </c>
      <c r="B6" s="26" t="s">
        <v>33</v>
      </c>
      <c r="C6" s="26" t="s">
        <v>20</v>
      </c>
      <c r="D6" s="26" t="n">
        <v>3</v>
      </c>
      <c r="E6" s="27" t="s">
        <v>119</v>
      </c>
      <c r="F6" s="27" t="s">
        <v>130</v>
      </c>
      <c r="G6" s="27" t="s">
        <v>131</v>
      </c>
      <c r="H6" s="27"/>
      <c r="I6" s="27"/>
    </row>
    <row r="7" customFormat="false" ht="23.85" hidden="false" customHeight="false" outlineLevel="0" collapsed="false">
      <c r="A7" s="26" t="n">
        <v>6</v>
      </c>
      <c r="B7" s="26" t="s">
        <v>35</v>
      </c>
      <c r="C7" s="26" t="s">
        <v>25</v>
      </c>
      <c r="D7" s="26" t="n">
        <v>3</v>
      </c>
      <c r="E7" s="27" t="s">
        <v>119</v>
      </c>
      <c r="F7" s="27" t="s">
        <v>132</v>
      </c>
      <c r="G7" s="27" t="s">
        <v>133</v>
      </c>
      <c r="H7" s="27" t="s">
        <v>37</v>
      </c>
      <c r="I7" s="27" t="s">
        <v>134</v>
      </c>
    </row>
    <row r="8" customFormat="false" ht="23.85" hidden="false" customHeight="false" outlineLevel="0" collapsed="false">
      <c r="A8" s="26" t="n">
        <v>7</v>
      </c>
      <c r="B8" s="26" t="s">
        <v>38</v>
      </c>
      <c r="C8" s="26" t="s">
        <v>20</v>
      </c>
      <c r="D8" s="26" t="n">
        <v>4</v>
      </c>
      <c r="E8" s="27" t="s">
        <v>119</v>
      </c>
      <c r="F8" s="27" t="s">
        <v>135</v>
      </c>
      <c r="G8" s="27" t="s">
        <v>136</v>
      </c>
      <c r="H8" s="27"/>
      <c r="I8" s="27"/>
    </row>
    <row r="9" customFormat="false" ht="23.85" hidden="false" customHeight="false" outlineLevel="0" collapsed="false">
      <c r="A9" s="26" t="n">
        <v>8</v>
      </c>
      <c r="B9" s="26" t="s">
        <v>40</v>
      </c>
      <c r="C9" s="26" t="s">
        <v>25</v>
      </c>
      <c r="D9" s="26" t="n">
        <v>4</v>
      </c>
      <c r="E9" s="27" t="s">
        <v>119</v>
      </c>
      <c r="F9" s="27" t="s">
        <v>137</v>
      </c>
      <c r="G9" s="27" t="s">
        <v>138</v>
      </c>
      <c r="H9" s="27" t="s">
        <v>42</v>
      </c>
      <c r="I9" s="27" t="s">
        <v>139</v>
      </c>
    </row>
    <row r="10" customFormat="false" ht="23.85" hidden="false" customHeight="false" outlineLevel="0" collapsed="false">
      <c r="A10" s="26" t="n">
        <v>9</v>
      </c>
      <c r="B10" s="26" t="s">
        <v>43</v>
      </c>
      <c r="C10" s="26" t="s">
        <v>20</v>
      </c>
      <c r="D10" s="26" t="n">
        <v>5</v>
      </c>
      <c r="E10" s="27" t="s">
        <v>119</v>
      </c>
      <c r="F10" s="27" t="s">
        <v>140</v>
      </c>
      <c r="G10" s="27" t="s">
        <v>141</v>
      </c>
      <c r="H10" s="27"/>
      <c r="I10" s="27"/>
    </row>
    <row r="11" customFormat="false" ht="35.05" hidden="false" customHeight="false" outlineLevel="0" collapsed="false">
      <c r="A11" s="26" t="n">
        <v>10</v>
      </c>
      <c r="B11" s="26" t="s">
        <v>45</v>
      </c>
      <c r="C11" s="26" t="s">
        <v>25</v>
      </c>
      <c r="D11" s="26" t="n">
        <v>5</v>
      </c>
      <c r="E11" s="27" t="s">
        <v>119</v>
      </c>
      <c r="F11" s="27" t="s">
        <v>142</v>
      </c>
      <c r="G11" s="27" t="s">
        <v>143</v>
      </c>
      <c r="H11" s="27" t="s">
        <v>47</v>
      </c>
      <c r="I11" s="27" t="s">
        <v>144</v>
      </c>
    </row>
    <row r="12" customFormat="false" ht="23.85" hidden="false" customHeight="false" outlineLevel="0" collapsed="false">
      <c r="A12" s="28" t="n">
        <v>11</v>
      </c>
      <c r="B12" s="28" t="s">
        <v>48</v>
      </c>
      <c r="C12" s="28" t="s">
        <v>20</v>
      </c>
      <c r="D12" s="28" t="n">
        <v>6</v>
      </c>
      <c r="E12" s="29" t="s">
        <v>145</v>
      </c>
      <c r="F12" s="29" t="s">
        <v>146</v>
      </c>
      <c r="G12" s="29" t="s">
        <v>147</v>
      </c>
      <c r="H12" s="29" t="s">
        <v>50</v>
      </c>
      <c r="I12" s="29"/>
    </row>
    <row r="13" customFormat="false" ht="46.25" hidden="false" customHeight="false" outlineLevel="0" collapsed="false">
      <c r="A13" s="28" t="n">
        <v>12</v>
      </c>
      <c r="B13" s="28" t="s">
        <v>51</v>
      </c>
      <c r="C13" s="28" t="s">
        <v>25</v>
      </c>
      <c r="D13" s="28" t="n">
        <v>6</v>
      </c>
      <c r="E13" s="29" t="s">
        <v>145</v>
      </c>
      <c r="F13" s="29" t="s">
        <v>148</v>
      </c>
      <c r="G13" s="29" t="s">
        <v>149</v>
      </c>
      <c r="H13" s="29" t="s">
        <v>53</v>
      </c>
      <c r="I13" s="29" t="s">
        <v>150</v>
      </c>
    </row>
    <row r="14" customFormat="false" ht="23.85" hidden="false" customHeight="false" outlineLevel="0" collapsed="false">
      <c r="A14" s="28" t="n">
        <v>13</v>
      </c>
      <c r="B14" s="28" t="s">
        <v>54</v>
      </c>
      <c r="C14" s="28" t="s">
        <v>20</v>
      </c>
      <c r="D14" s="28" t="n">
        <v>7</v>
      </c>
      <c r="E14" s="29" t="s">
        <v>145</v>
      </c>
      <c r="F14" s="29" t="s">
        <v>151</v>
      </c>
      <c r="G14" s="29" t="s">
        <v>152</v>
      </c>
      <c r="H14" s="29"/>
      <c r="I14" s="29"/>
    </row>
    <row r="15" customFormat="false" ht="23.85" hidden="false" customHeight="false" outlineLevel="0" collapsed="false">
      <c r="A15" s="28" t="n">
        <v>14</v>
      </c>
      <c r="B15" s="28" t="s">
        <v>56</v>
      </c>
      <c r="C15" s="28" t="s">
        <v>25</v>
      </c>
      <c r="D15" s="28" t="n">
        <v>7</v>
      </c>
      <c r="E15" s="29" t="s">
        <v>145</v>
      </c>
      <c r="F15" s="29" t="s">
        <v>153</v>
      </c>
      <c r="G15" s="29" t="s">
        <v>154</v>
      </c>
      <c r="H15" s="29" t="s">
        <v>58</v>
      </c>
      <c r="I15" s="29" t="s">
        <v>155</v>
      </c>
    </row>
    <row r="16" customFormat="false" ht="23.85" hidden="false" customHeight="false" outlineLevel="0" collapsed="false">
      <c r="A16" s="30" t="n">
        <v>15</v>
      </c>
      <c r="B16" s="30" t="s">
        <v>59</v>
      </c>
      <c r="C16" s="30" t="s">
        <v>20</v>
      </c>
      <c r="D16" s="30" t="n">
        <v>8</v>
      </c>
      <c r="E16" s="31" t="s">
        <v>156</v>
      </c>
      <c r="F16" s="31" t="s">
        <v>157</v>
      </c>
      <c r="G16" s="31" t="s">
        <v>158</v>
      </c>
      <c r="H16" s="31"/>
      <c r="I16" s="31"/>
    </row>
    <row r="17" customFormat="false" ht="46.25" hidden="false" customHeight="false" outlineLevel="0" collapsed="false">
      <c r="A17" s="30" t="n">
        <v>16</v>
      </c>
      <c r="B17" s="30" t="s">
        <v>61</v>
      </c>
      <c r="C17" s="30" t="s">
        <v>25</v>
      </c>
      <c r="D17" s="30" t="n">
        <v>8</v>
      </c>
      <c r="E17" s="31" t="s">
        <v>156</v>
      </c>
      <c r="F17" s="31" t="s">
        <v>159</v>
      </c>
      <c r="G17" s="31" t="s">
        <v>160</v>
      </c>
      <c r="H17" s="31" t="s">
        <v>63</v>
      </c>
      <c r="I17" s="31" t="s">
        <v>161</v>
      </c>
    </row>
    <row r="18" customFormat="false" ht="23.85" hidden="false" customHeight="false" outlineLevel="0" collapsed="false">
      <c r="A18" s="32" t="s">
        <v>162</v>
      </c>
      <c r="B18" s="32" t="s">
        <v>64</v>
      </c>
      <c r="C18" s="32" t="s">
        <v>20</v>
      </c>
      <c r="D18" s="32" t="s">
        <v>162</v>
      </c>
      <c r="E18" s="33" t="s">
        <v>162</v>
      </c>
      <c r="F18" s="33" t="s">
        <v>163</v>
      </c>
      <c r="G18" s="33"/>
      <c r="H18" s="33"/>
      <c r="I18" s="33"/>
    </row>
    <row r="19" customFormat="false" ht="23.85" hidden="false" customHeight="false" outlineLevel="0" collapsed="false">
      <c r="A19" s="32" t="s">
        <v>162</v>
      </c>
      <c r="B19" s="32" t="s">
        <v>67</v>
      </c>
      <c r="C19" s="32" t="s">
        <v>25</v>
      </c>
      <c r="D19" s="32" t="s">
        <v>162</v>
      </c>
      <c r="E19" s="33" t="s">
        <v>162</v>
      </c>
      <c r="F19" s="33" t="s">
        <v>163</v>
      </c>
      <c r="G19" s="33"/>
      <c r="H19" s="33"/>
      <c r="I19" s="33"/>
    </row>
    <row r="20" customFormat="false" ht="23.85" hidden="false" customHeight="false" outlineLevel="0" collapsed="false">
      <c r="A20" s="34" t="n">
        <v>17</v>
      </c>
      <c r="B20" s="34" t="s">
        <v>68</v>
      </c>
      <c r="C20" s="34" t="s">
        <v>20</v>
      </c>
      <c r="D20" s="34" t="n">
        <v>9</v>
      </c>
      <c r="E20" s="35" t="s">
        <v>164</v>
      </c>
      <c r="F20" s="35" t="s">
        <v>165</v>
      </c>
      <c r="G20" s="35" t="s">
        <v>166</v>
      </c>
      <c r="H20" s="35" t="s">
        <v>70</v>
      </c>
      <c r="I20" s="35"/>
    </row>
    <row r="21" customFormat="false" ht="23.85" hidden="false" customHeight="false" outlineLevel="0" collapsed="false">
      <c r="A21" s="34" t="n">
        <v>18</v>
      </c>
      <c r="B21" s="34" t="s">
        <v>71</v>
      </c>
      <c r="C21" s="34" t="s">
        <v>25</v>
      </c>
      <c r="D21" s="34" t="n">
        <v>9</v>
      </c>
      <c r="E21" s="35" t="s">
        <v>164</v>
      </c>
      <c r="F21" s="35" t="s">
        <v>167</v>
      </c>
      <c r="G21" s="35" t="s">
        <v>168</v>
      </c>
      <c r="H21" s="35" t="s">
        <v>73</v>
      </c>
      <c r="I21" s="35" t="s">
        <v>169</v>
      </c>
    </row>
    <row r="22" customFormat="false" ht="23.85" hidden="false" customHeight="false" outlineLevel="0" collapsed="false">
      <c r="A22" s="34" t="n">
        <v>19</v>
      </c>
      <c r="B22" s="34" t="s">
        <v>74</v>
      </c>
      <c r="C22" s="34" t="s">
        <v>20</v>
      </c>
      <c r="D22" s="34" t="n">
        <v>10</v>
      </c>
      <c r="E22" s="35" t="s">
        <v>164</v>
      </c>
      <c r="F22" s="35" t="s">
        <v>170</v>
      </c>
      <c r="G22" s="35" t="s">
        <v>171</v>
      </c>
      <c r="H22" s="35"/>
      <c r="I22" s="35"/>
    </row>
    <row r="23" customFormat="false" ht="23.85" hidden="false" customHeight="false" outlineLevel="0" collapsed="false">
      <c r="A23" s="34" t="n">
        <v>20</v>
      </c>
      <c r="B23" s="34" t="s">
        <v>76</v>
      </c>
      <c r="C23" s="34" t="s">
        <v>25</v>
      </c>
      <c r="D23" s="34" t="n">
        <v>10</v>
      </c>
      <c r="E23" s="35" t="s">
        <v>164</v>
      </c>
      <c r="F23" s="35" t="s">
        <v>172</v>
      </c>
      <c r="G23" s="35" t="s">
        <v>173</v>
      </c>
      <c r="H23" s="35" t="s">
        <v>78</v>
      </c>
      <c r="I23" s="35"/>
    </row>
    <row r="24" customFormat="false" ht="23.85" hidden="false" customHeight="false" outlineLevel="0" collapsed="false">
      <c r="A24" s="32" t="s">
        <v>162</v>
      </c>
      <c r="B24" s="32" t="s">
        <v>79</v>
      </c>
      <c r="C24" s="32" t="s">
        <v>20</v>
      </c>
      <c r="D24" s="32" t="s">
        <v>162</v>
      </c>
      <c r="E24" s="33" t="s">
        <v>162</v>
      </c>
      <c r="F24" s="33" t="s">
        <v>174</v>
      </c>
      <c r="G24" s="33"/>
      <c r="H24" s="33"/>
      <c r="I24" s="33"/>
    </row>
    <row r="25" customFormat="false" ht="57.45" hidden="false" customHeight="false" outlineLevel="0" collapsed="false">
      <c r="A25" s="34" t="n">
        <v>21</v>
      </c>
      <c r="B25" s="34" t="s">
        <v>82</v>
      </c>
      <c r="C25" s="34" t="s">
        <v>25</v>
      </c>
      <c r="D25" s="34" t="n">
        <v>11</v>
      </c>
      <c r="E25" s="35" t="s">
        <v>164</v>
      </c>
      <c r="F25" s="35" t="s">
        <v>175</v>
      </c>
      <c r="G25" s="35" t="s">
        <v>176</v>
      </c>
      <c r="H25" s="35" t="s">
        <v>84</v>
      </c>
      <c r="I25" s="35" t="s">
        <v>177</v>
      </c>
    </row>
    <row r="26" customFormat="false" ht="23.85" hidden="false" customHeight="false" outlineLevel="0" collapsed="false">
      <c r="A26" s="36" t="n">
        <v>22</v>
      </c>
      <c r="B26" s="36" t="s">
        <v>85</v>
      </c>
      <c r="C26" s="36" t="s">
        <v>20</v>
      </c>
      <c r="D26" s="36" t="n">
        <v>12</v>
      </c>
      <c r="E26" s="37" t="s">
        <v>178</v>
      </c>
      <c r="F26" s="37" t="s">
        <v>179</v>
      </c>
      <c r="G26" s="37" t="s">
        <v>180</v>
      </c>
      <c r="H26" s="37"/>
      <c r="I26" s="37"/>
    </row>
    <row r="27" customFormat="false" ht="35.05" hidden="false" customHeight="false" outlineLevel="0" collapsed="false">
      <c r="A27" s="36" t="n">
        <v>23</v>
      </c>
      <c r="B27" s="36" t="s">
        <v>87</v>
      </c>
      <c r="C27" s="36" t="s">
        <v>25</v>
      </c>
      <c r="D27" s="36" t="n">
        <v>12</v>
      </c>
      <c r="E27" s="37" t="s">
        <v>178</v>
      </c>
      <c r="F27" s="37" t="s">
        <v>181</v>
      </c>
      <c r="G27" s="37" t="s">
        <v>182</v>
      </c>
      <c r="H27" s="37" t="s">
        <v>89</v>
      </c>
      <c r="I27" s="37" t="s">
        <v>183</v>
      </c>
    </row>
    <row r="28" customFormat="false" ht="23.85" hidden="false" customHeight="false" outlineLevel="0" collapsed="false">
      <c r="A28" s="36" t="n">
        <v>24</v>
      </c>
      <c r="B28" s="36" t="s">
        <v>90</v>
      </c>
      <c r="C28" s="36" t="s">
        <v>20</v>
      </c>
      <c r="D28" s="36" t="n">
        <v>13</v>
      </c>
      <c r="E28" s="37" t="s">
        <v>178</v>
      </c>
      <c r="F28" s="37" t="s">
        <v>184</v>
      </c>
      <c r="G28" s="37" t="s">
        <v>185</v>
      </c>
      <c r="H28" s="37"/>
      <c r="I28" s="37"/>
    </row>
    <row r="29" customFormat="false" ht="35.05" hidden="false" customHeight="false" outlineLevel="0" collapsed="false">
      <c r="A29" s="36" t="n">
        <v>25</v>
      </c>
      <c r="B29" s="36" t="s">
        <v>92</v>
      </c>
      <c r="C29" s="36" t="s">
        <v>25</v>
      </c>
      <c r="D29" s="36" t="n">
        <v>13</v>
      </c>
      <c r="E29" s="37" t="s">
        <v>178</v>
      </c>
      <c r="F29" s="37" t="s">
        <v>186</v>
      </c>
      <c r="G29" s="37" t="s">
        <v>187</v>
      </c>
      <c r="H29" s="37" t="s">
        <v>94</v>
      </c>
      <c r="I29" s="37" t="s">
        <v>188</v>
      </c>
    </row>
    <row r="30" customFormat="false" ht="23.85" hidden="false" customHeight="false" outlineLevel="0" collapsed="false">
      <c r="A30" s="36" t="n">
        <v>26</v>
      </c>
      <c r="B30" s="36" t="s">
        <v>95</v>
      </c>
      <c r="C30" s="36" t="s">
        <v>20</v>
      </c>
      <c r="D30" s="36" t="n">
        <v>14</v>
      </c>
      <c r="E30" s="37" t="s">
        <v>178</v>
      </c>
      <c r="F30" s="37" t="s">
        <v>189</v>
      </c>
      <c r="G30" s="37" t="s">
        <v>190</v>
      </c>
      <c r="H30" s="37"/>
      <c r="I30" s="37"/>
    </row>
    <row r="31" customFormat="false" ht="46.25" hidden="false" customHeight="false" outlineLevel="0" collapsed="false">
      <c r="A31" s="36" t="n">
        <v>27</v>
      </c>
      <c r="B31" s="36" t="s">
        <v>97</v>
      </c>
      <c r="C31" s="36" t="s">
        <v>25</v>
      </c>
      <c r="D31" s="36" t="n">
        <v>14</v>
      </c>
      <c r="E31" s="37" t="s">
        <v>178</v>
      </c>
      <c r="F31" s="37" t="s">
        <v>191</v>
      </c>
      <c r="G31" s="37" t="s">
        <v>192</v>
      </c>
      <c r="H31" s="37" t="s">
        <v>99</v>
      </c>
      <c r="I31" s="37" t="s">
        <v>193</v>
      </c>
    </row>
    <row r="32" customFormat="false" ht="23.85" hidden="false" customHeight="false" outlineLevel="0" collapsed="false">
      <c r="A32" s="38" t="n">
        <v>28</v>
      </c>
      <c r="B32" s="38" t="s">
        <v>100</v>
      </c>
      <c r="C32" s="38" t="s">
        <v>20</v>
      </c>
      <c r="D32" s="38" t="n">
        <v>15</v>
      </c>
      <c r="E32" s="39" t="s">
        <v>194</v>
      </c>
      <c r="F32" s="39" t="s">
        <v>195</v>
      </c>
      <c r="G32" s="39" t="s">
        <v>196</v>
      </c>
      <c r="H32" s="39"/>
      <c r="I32" s="39"/>
    </row>
    <row r="33" customFormat="false" ht="15" hidden="false" customHeight="false" outlineLevel="0" collapsed="false">
      <c r="A33" s="38" t="n">
        <v>29</v>
      </c>
      <c r="B33" s="38" t="s">
        <v>102</v>
      </c>
      <c r="C33" s="38" t="s">
        <v>25</v>
      </c>
      <c r="D33" s="38" t="n">
        <v>15</v>
      </c>
      <c r="E33" s="39" t="s">
        <v>194</v>
      </c>
      <c r="F33" s="39" t="s">
        <v>197</v>
      </c>
      <c r="G33" s="39" t="s">
        <v>198</v>
      </c>
      <c r="H33" s="39" t="s">
        <v>104</v>
      </c>
      <c r="I33" s="39"/>
    </row>
    <row r="34" customFormat="false" ht="23.85" hidden="false" customHeight="false" outlineLevel="0" collapsed="false">
      <c r="A34" s="38" t="n">
        <v>30</v>
      </c>
      <c r="B34" s="38" t="s">
        <v>105</v>
      </c>
      <c r="C34" s="38" t="s">
        <v>20</v>
      </c>
      <c r="D34" s="38" t="n">
        <v>16</v>
      </c>
      <c r="E34" s="39" t="s">
        <v>194</v>
      </c>
      <c r="F34" s="39" t="s">
        <v>199</v>
      </c>
      <c r="G34" s="39" t="s">
        <v>200</v>
      </c>
      <c r="H34" s="39" t="s">
        <v>107</v>
      </c>
      <c r="I34" s="39"/>
    </row>
    <row r="35" customFormat="false" ht="23.85" hidden="false" customHeight="false" outlineLevel="0" collapsed="false">
      <c r="A35" s="38" t="n">
        <v>31</v>
      </c>
      <c r="B35" s="38" t="s">
        <v>109</v>
      </c>
      <c r="C35" s="38" t="s">
        <v>25</v>
      </c>
      <c r="D35" s="38" t="n">
        <v>16</v>
      </c>
      <c r="E35" s="39" t="s">
        <v>194</v>
      </c>
      <c r="F35" s="39" t="s">
        <v>201</v>
      </c>
      <c r="G35" s="39" t="s">
        <v>202</v>
      </c>
      <c r="H35" s="39" t="s">
        <v>111</v>
      </c>
      <c r="I35" s="39" t="s">
        <v>203</v>
      </c>
    </row>
  </sheetData>
  <autoFilter ref="A1:I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80"/>
  </cols>
  <sheetData>
    <row r="1" customFormat="false" ht="30" hidden="false" customHeight="true" outlineLevel="0" collapsed="false">
      <c r="A1" s="25" t="s">
        <v>13</v>
      </c>
      <c r="B1" s="25" t="s">
        <v>14</v>
      </c>
      <c r="C1" s="25" t="s">
        <v>11</v>
      </c>
      <c r="D1" s="25" t="s">
        <v>204</v>
      </c>
      <c r="E1" s="25" t="s">
        <v>205</v>
      </c>
    </row>
    <row r="2" customFormat="false" ht="23.85" hidden="false" customHeight="false" outlineLevel="0" collapsed="false">
      <c r="A2" s="32" t="s">
        <v>19</v>
      </c>
      <c r="B2" s="32" t="s">
        <v>20</v>
      </c>
      <c r="C2" s="32" t="n">
        <v>1</v>
      </c>
      <c r="D2" s="33" t="s">
        <v>206</v>
      </c>
      <c r="E2" s="33" t="s">
        <v>23</v>
      </c>
    </row>
    <row r="3" customFormat="false" ht="23.85" hidden="false" customHeight="false" outlineLevel="0" collapsed="false">
      <c r="A3" s="32" t="s">
        <v>24</v>
      </c>
      <c r="B3" s="32" t="s">
        <v>25</v>
      </c>
      <c r="C3" s="32" t="n">
        <v>1</v>
      </c>
      <c r="D3" s="33" t="s">
        <v>206</v>
      </c>
      <c r="E3" s="33" t="s">
        <v>27</v>
      </c>
    </row>
    <row r="4" customFormat="false" ht="23.85" hidden="false" customHeight="false" outlineLevel="0" collapsed="false">
      <c r="A4" s="32" t="s">
        <v>30</v>
      </c>
      <c r="B4" s="32" t="s">
        <v>25</v>
      </c>
      <c r="C4" s="32" t="n">
        <v>2</v>
      </c>
      <c r="D4" s="33" t="s">
        <v>207</v>
      </c>
      <c r="E4" s="33" t="s">
        <v>32</v>
      </c>
    </row>
    <row r="5" customFormat="false" ht="15" hidden="false" customHeight="false" outlineLevel="0" collapsed="false">
      <c r="A5" s="32" t="s">
        <v>35</v>
      </c>
      <c r="B5" s="32" t="s">
        <v>25</v>
      </c>
      <c r="C5" s="32" t="n">
        <v>3</v>
      </c>
      <c r="D5" s="33" t="s">
        <v>208</v>
      </c>
      <c r="E5" s="33" t="s">
        <v>37</v>
      </c>
    </row>
    <row r="6" customFormat="false" ht="15" hidden="false" customHeight="false" outlineLevel="0" collapsed="false">
      <c r="A6" s="32" t="s">
        <v>40</v>
      </c>
      <c r="B6" s="32" t="s">
        <v>25</v>
      </c>
      <c r="C6" s="32" t="n">
        <v>4</v>
      </c>
      <c r="D6" s="33" t="s">
        <v>209</v>
      </c>
      <c r="E6" s="33" t="s">
        <v>42</v>
      </c>
    </row>
    <row r="7" customFormat="false" ht="23.85" hidden="false" customHeight="false" outlineLevel="0" collapsed="false">
      <c r="A7" s="32" t="s">
        <v>45</v>
      </c>
      <c r="B7" s="32" t="s">
        <v>25</v>
      </c>
      <c r="C7" s="32" t="n">
        <v>5</v>
      </c>
      <c r="D7" s="33" t="s">
        <v>210</v>
      </c>
      <c r="E7" s="33" t="s">
        <v>47</v>
      </c>
    </row>
    <row r="8" customFormat="false" ht="15" hidden="false" customHeight="false" outlineLevel="0" collapsed="false">
      <c r="A8" s="32" t="s">
        <v>48</v>
      </c>
      <c r="B8" s="32" t="s">
        <v>20</v>
      </c>
      <c r="C8" s="32" t="n">
        <v>6</v>
      </c>
      <c r="D8" s="33" t="s">
        <v>211</v>
      </c>
      <c r="E8" s="33" t="s">
        <v>50</v>
      </c>
    </row>
    <row r="9" customFormat="false" ht="23.85" hidden="false" customHeight="false" outlineLevel="0" collapsed="false">
      <c r="A9" s="32" t="s">
        <v>51</v>
      </c>
      <c r="B9" s="32" t="s">
        <v>25</v>
      </c>
      <c r="C9" s="32" t="n">
        <v>6</v>
      </c>
      <c r="D9" s="33" t="s">
        <v>211</v>
      </c>
      <c r="E9" s="33" t="s">
        <v>53</v>
      </c>
    </row>
    <row r="10" customFormat="false" ht="15" hidden="false" customHeight="false" outlineLevel="0" collapsed="false">
      <c r="A10" s="32" t="s">
        <v>56</v>
      </c>
      <c r="B10" s="32" t="s">
        <v>25</v>
      </c>
      <c r="C10" s="32" t="n">
        <v>7</v>
      </c>
      <c r="D10" s="33" t="s">
        <v>212</v>
      </c>
      <c r="E10" s="33" t="s">
        <v>58</v>
      </c>
    </row>
    <row r="11" customFormat="false" ht="23.85" hidden="false" customHeight="false" outlineLevel="0" collapsed="false">
      <c r="A11" s="32" t="s">
        <v>61</v>
      </c>
      <c r="B11" s="32" t="s">
        <v>25</v>
      </c>
      <c r="C11" s="32" t="n">
        <v>8</v>
      </c>
      <c r="D11" s="33" t="s">
        <v>213</v>
      </c>
      <c r="E11" s="33" t="s">
        <v>63</v>
      </c>
    </row>
    <row r="12" customFormat="false" ht="15" hidden="false" customHeight="false" outlineLevel="0" collapsed="false">
      <c r="A12" s="32" t="s">
        <v>68</v>
      </c>
      <c r="B12" s="32" t="s">
        <v>20</v>
      </c>
      <c r="C12" s="32" t="n">
        <v>9</v>
      </c>
      <c r="D12" s="33" t="s">
        <v>214</v>
      </c>
      <c r="E12" s="33" t="s">
        <v>70</v>
      </c>
    </row>
    <row r="13" customFormat="false" ht="15" hidden="false" customHeight="false" outlineLevel="0" collapsed="false">
      <c r="A13" s="32" t="s">
        <v>71</v>
      </c>
      <c r="B13" s="32" t="s">
        <v>25</v>
      </c>
      <c r="C13" s="32" t="n">
        <v>9</v>
      </c>
      <c r="D13" s="33" t="s">
        <v>214</v>
      </c>
      <c r="E13" s="33" t="s">
        <v>73</v>
      </c>
    </row>
    <row r="14" customFormat="false" ht="23.85" hidden="false" customHeight="false" outlineLevel="0" collapsed="false">
      <c r="A14" s="32" t="s">
        <v>76</v>
      </c>
      <c r="B14" s="32" t="s">
        <v>25</v>
      </c>
      <c r="C14" s="32" t="n">
        <v>10</v>
      </c>
      <c r="D14" s="33" t="s">
        <v>215</v>
      </c>
      <c r="E14" s="33" t="s">
        <v>78</v>
      </c>
    </row>
    <row r="15" customFormat="false" ht="23.85" hidden="false" customHeight="false" outlineLevel="0" collapsed="false">
      <c r="A15" s="32" t="s">
        <v>82</v>
      </c>
      <c r="B15" s="32" t="s">
        <v>25</v>
      </c>
      <c r="C15" s="32" t="n">
        <v>11</v>
      </c>
      <c r="D15" s="33" t="s">
        <v>216</v>
      </c>
      <c r="E15" s="33" t="s">
        <v>84</v>
      </c>
    </row>
    <row r="16" customFormat="false" ht="23.85" hidden="false" customHeight="false" outlineLevel="0" collapsed="false">
      <c r="A16" s="32" t="s">
        <v>87</v>
      </c>
      <c r="B16" s="32" t="s">
        <v>25</v>
      </c>
      <c r="C16" s="32" t="n">
        <v>12</v>
      </c>
      <c r="D16" s="33" t="s">
        <v>217</v>
      </c>
      <c r="E16" s="33" t="s">
        <v>89</v>
      </c>
    </row>
    <row r="17" customFormat="false" ht="23.85" hidden="false" customHeight="false" outlineLevel="0" collapsed="false">
      <c r="A17" s="32" t="s">
        <v>92</v>
      </c>
      <c r="B17" s="32" t="s">
        <v>25</v>
      </c>
      <c r="C17" s="32" t="n">
        <v>13</v>
      </c>
      <c r="D17" s="33" t="s">
        <v>218</v>
      </c>
      <c r="E17" s="33" t="s">
        <v>94</v>
      </c>
    </row>
    <row r="18" customFormat="false" ht="23.85" hidden="false" customHeight="false" outlineLevel="0" collapsed="false">
      <c r="A18" s="32" t="s">
        <v>97</v>
      </c>
      <c r="B18" s="32" t="s">
        <v>25</v>
      </c>
      <c r="C18" s="32" t="n">
        <v>14</v>
      </c>
      <c r="D18" s="33" t="s">
        <v>219</v>
      </c>
      <c r="E18" s="33" t="s">
        <v>99</v>
      </c>
    </row>
    <row r="19" customFormat="false" ht="23.85" hidden="false" customHeight="false" outlineLevel="0" collapsed="false">
      <c r="A19" s="32" t="s">
        <v>102</v>
      </c>
      <c r="B19" s="32" t="s">
        <v>25</v>
      </c>
      <c r="C19" s="32" t="n">
        <v>15</v>
      </c>
      <c r="D19" s="33" t="s">
        <v>220</v>
      </c>
      <c r="E19" s="33" t="s">
        <v>104</v>
      </c>
    </row>
    <row r="20" customFormat="false" ht="15" hidden="false" customHeight="false" outlineLevel="0" collapsed="false">
      <c r="A20" s="32" t="s">
        <v>105</v>
      </c>
      <c r="B20" s="32" t="s">
        <v>20</v>
      </c>
      <c r="C20" s="32" t="n">
        <v>16</v>
      </c>
      <c r="D20" s="33" t="s">
        <v>221</v>
      </c>
      <c r="E20" s="33" t="s">
        <v>107</v>
      </c>
    </row>
    <row r="21" customFormat="false" ht="15" hidden="false" customHeight="false" outlineLevel="0" collapsed="false">
      <c r="A21" s="32" t="s">
        <v>109</v>
      </c>
      <c r="B21" s="32" t="s">
        <v>25</v>
      </c>
      <c r="C21" s="32" t="n">
        <v>16</v>
      </c>
      <c r="D21" s="33" t="s">
        <v>221</v>
      </c>
      <c r="E21" s="33" t="s">
        <v>111</v>
      </c>
    </row>
  </sheetData>
  <autoFilter ref="A1:E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60"/>
    <col collapsed="false" customWidth="true" hidden="false" outlineLevel="0" max="4" min="4" style="0" width="74"/>
  </cols>
  <sheetData>
    <row r="1" customFormat="false" ht="30" hidden="false" customHeight="true" outlineLevel="0" collapsed="false">
      <c r="A1" s="25" t="s">
        <v>222</v>
      </c>
      <c r="B1" s="25" t="s">
        <v>11</v>
      </c>
      <c r="C1" s="25" t="s">
        <v>223</v>
      </c>
      <c r="D1" s="25" t="s">
        <v>224</v>
      </c>
    </row>
    <row r="2" customFormat="false" ht="23.85" hidden="false" customHeight="false" outlineLevel="0" collapsed="false">
      <c r="A2" s="32" t="s">
        <v>74</v>
      </c>
      <c r="B2" s="33" t="s">
        <v>225</v>
      </c>
      <c r="C2" s="33" t="s">
        <v>226</v>
      </c>
      <c r="D2" s="33" t="s">
        <v>227</v>
      </c>
    </row>
    <row r="3" customFormat="false" ht="23.85" hidden="false" customHeight="false" outlineLevel="0" collapsed="false">
      <c r="A3" s="32" t="s">
        <v>82</v>
      </c>
      <c r="B3" s="33" t="s">
        <v>228</v>
      </c>
      <c r="C3" s="33" t="s">
        <v>229</v>
      </c>
      <c r="D3" s="33" t="s">
        <v>230</v>
      </c>
    </row>
    <row r="4" customFormat="false" ht="23.85" hidden="false" customHeight="false" outlineLevel="0" collapsed="false">
      <c r="A4" s="32" t="s">
        <v>100</v>
      </c>
      <c r="B4" s="33" t="s">
        <v>231</v>
      </c>
      <c r="C4" s="33" t="s">
        <v>232</v>
      </c>
      <c r="D4" s="33" t="s">
        <v>233</v>
      </c>
    </row>
    <row r="5" customFormat="false" ht="15" hidden="false" customHeight="false" outlineLevel="0" collapsed="false">
      <c r="A5" s="32" t="s">
        <v>43</v>
      </c>
      <c r="B5" s="33" t="s">
        <v>234</v>
      </c>
      <c r="C5" s="33" t="s">
        <v>235</v>
      </c>
      <c r="D5" s="33" t="s">
        <v>236</v>
      </c>
    </row>
    <row r="6" customFormat="false" ht="23.85" hidden="false" customHeight="false" outlineLevel="0" collapsed="false">
      <c r="A6" s="32" t="s">
        <v>61</v>
      </c>
      <c r="B6" s="33" t="s">
        <v>237</v>
      </c>
      <c r="C6" s="33" t="s">
        <v>238</v>
      </c>
      <c r="D6" s="33" t="s">
        <v>239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30"/>
  </cols>
  <sheetData>
    <row r="2" customFormat="false" ht="17.25" hidden="false" customHeight="true" outlineLevel="0" collapsed="false">
      <c r="B2" s="3" t="s">
        <v>240</v>
      </c>
    </row>
    <row r="3" customFormat="false" ht="15" hidden="false" customHeight="true" outlineLevel="0" collapsed="false">
      <c r="B3" s="5" t="s">
        <v>241</v>
      </c>
    </row>
    <row r="5" customFormat="false" ht="15" hidden="false" customHeight="true" outlineLevel="0" collapsed="false">
      <c r="B5" s="11" t="s">
        <v>242</v>
      </c>
      <c r="C5" s="11" t="s">
        <v>243</v>
      </c>
      <c r="D5" s="11" t="s">
        <v>244</v>
      </c>
      <c r="E5" s="11" t="s">
        <v>245</v>
      </c>
      <c r="F5" s="11" t="s">
        <v>246</v>
      </c>
    </row>
    <row r="6" customFormat="false" ht="23.25" hidden="false" customHeight="true" outlineLevel="0" collapsed="false">
      <c r="B6" s="40" t="s">
        <v>247</v>
      </c>
      <c r="C6" s="41"/>
      <c r="D6" s="41"/>
      <c r="E6" s="41"/>
      <c r="F6" s="14" t="s">
        <v>248</v>
      </c>
    </row>
    <row r="7" customFormat="false" ht="23.25" hidden="false" customHeight="true" outlineLevel="0" collapsed="false">
      <c r="B7" s="40" t="s">
        <v>249</v>
      </c>
      <c r="C7" s="41"/>
      <c r="D7" s="41"/>
      <c r="E7" s="41"/>
      <c r="F7" s="14" t="s">
        <v>250</v>
      </c>
    </row>
    <row r="8" customFormat="false" ht="23.25" hidden="false" customHeight="true" outlineLevel="0" collapsed="false">
      <c r="B8" s="40" t="s">
        <v>251</v>
      </c>
      <c r="C8" s="41"/>
      <c r="D8" s="41"/>
      <c r="E8" s="41"/>
      <c r="F8" s="14" t="s">
        <v>252</v>
      </c>
    </row>
    <row r="10" customFormat="false" ht="26.25" hidden="false" customHeight="true" outlineLevel="0" collapsed="false">
      <c r="B10" s="42" t="s">
        <v>253</v>
      </c>
      <c r="C10" s="43"/>
      <c r="D10" s="43"/>
      <c r="E10" s="43"/>
      <c r="F10" s="43"/>
    </row>
    <row r="11" customFormat="false" ht="15" hidden="false" customHeight="true" outlineLevel="0" collapsed="false">
      <c r="B11" s="40" t="s">
        <v>254</v>
      </c>
      <c r="C11" s="12" t="s">
        <v>19</v>
      </c>
      <c r="D11" s="12" t="s">
        <v>255</v>
      </c>
      <c r="E11" s="12" t="n">
        <f aca="false">COUNTIF('S1 Lun-Mié'!F12:F400,"Clase")</f>
        <v>31</v>
      </c>
      <c r="F11" s="14" t="s">
        <v>256</v>
      </c>
    </row>
    <row r="12" customFormat="false" ht="15" hidden="false" customHeight="true" outlineLevel="0" collapsed="false">
      <c r="B12" s="40" t="s">
        <v>257</v>
      </c>
      <c r="C12" s="12" t="s">
        <v>19</v>
      </c>
      <c r="D12" s="12" t="s">
        <v>255</v>
      </c>
      <c r="E12" s="12" t="n">
        <f aca="false">COUNTIF('S1 Mar-Jue'!F12:F400,"Clase")</f>
        <v>31</v>
      </c>
      <c r="F12" s="14" t="s">
        <v>258</v>
      </c>
    </row>
    <row r="13" customFormat="false" ht="15" hidden="false" customHeight="true" outlineLevel="0" collapsed="false">
      <c r="B13" s="40" t="s">
        <v>259</v>
      </c>
      <c r="C13" s="12" t="s">
        <v>260</v>
      </c>
      <c r="D13" s="12" t="s">
        <v>261</v>
      </c>
      <c r="E13" s="12" t="n">
        <f aca="false">COUNTIF('S2 Lun-Mié'!F12:F400,"Clase")</f>
        <v>31</v>
      </c>
      <c r="F13" s="14" t="s">
        <v>256</v>
      </c>
    </row>
    <row r="14" customFormat="false" ht="15" hidden="false" customHeight="true" outlineLevel="0" collapsed="false">
      <c r="B14" s="40" t="s">
        <v>262</v>
      </c>
      <c r="C14" s="12" t="s">
        <v>260</v>
      </c>
      <c r="D14" s="12" t="s">
        <v>261</v>
      </c>
      <c r="E14" s="12" t="n">
        <f aca="false">COUNTIF('S2 Mar-Jue'!F12:F400,"Clase")</f>
        <v>30</v>
      </c>
      <c r="F14" s="14" t="s">
        <v>258</v>
      </c>
    </row>
    <row r="16" customFormat="false" ht="15" hidden="false" customHeight="true" outlineLevel="0" collapsed="false">
      <c r="B16" s="42" t="s">
        <v>263</v>
      </c>
      <c r="C16" s="43"/>
      <c r="D16" s="43"/>
      <c r="E16" s="43"/>
      <c r="F16" s="43"/>
    </row>
    <row r="17" customFormat="false" ht="15" hidden="false" customHeight="true" outlineLevel="0" collapsed="false">
      <c r="B17" s="40" t="s">
        <v>264</v>
      </c>
      <c r="C17" s="12" t="s">
        <v>19</v>
      </c>
      <c r="D17" s="12" t="s">
        <v>265</v>
      </c>
      <c r="E17" s="12" t="n">
        <f aca="false">COUNTIF('S1-Módulo 1'!F12:F400,"Clase")</f>
        <v>16</v>
      </c>
      <c r="F17" s="14" t="s">
        <v>266</v>
      </c>
    </row>
    <row r="18" customFormat="false" ht="15" hidden="false" customHeight="true" outlineLevel="0" collapsed="false">
      <c r="B18" s="40" t="s">
        <v>267</v>
      </c>
      <c r="C18" s="12" t="s">
        <v>43</v>
      </c>
      <c r="D18" s="12" t="s">
        <v>268</v>
      </c>
      <c r="E18" s="12" t="n">
        <f aca="false">COUNTIF('S1-Módulo 2'!F12:F400,"Clase")</f>
        <v>16</v>
      </c>
      <c r="F18" s="14" t="s">
        <v>266</v>
      </c>
    </row>
    <row r="19" customFormat="false" ht="15" hidden="false" customHeight="true" outlineLevel="0" collapsed="false">
      <c r="B19" s="40" t="s">
        <v>269</v>
      </c>
      <c r="C19" s="12" t="s">
        <v>68</v>
      </c>
      <c r="D19" s="12" t="s">
        <v>270</v>
      </c>
      <c r="E19" s="12" t="n">
        <f aca="false">COUNTIF('S1-Módulo 3'!F12:F400,"Clase")</f>
        <v>14</v>
      </c>
      <c r="F19" s="14" t="s">
        <v>266</v>
      </c>
    </row>
    <row r="20" customFormat="false" ht="15" hidden="false" customHeight="true" outlineLevel="0" collapsed="false">
      <c r="B20" s="40" t="s">
        <v>271</v>
      </c>
      <c r="C20" s="12" t="s">
        <v>90</v>
      </c>
      <c r="D20" s="12" t="s">
        <v>255</v>
      </c>
      <c r="E20" s="12" t="n">
        <f aca="false">COUNTIF('S1-Módulo 4'!F12:F400,"Clase")</f>
        <v>16</v>
      </c>
      <c r="F20" s="14" t="s">
        <v>266</v>
      </c>
    </row>
    <row r="21" customFormat="false" ht="15" hidden="false" customHeight="true" outlineLevel="0" collapsed="false">
      <c r="B21" s="40" t="s">
        <v>272</v>
      </c>
      <c r="C21" s="12" t="s">
        <v>19</v>
      </c>
      <c r="D21" s="12" t="s">
        <v>273</v>
      </c>
      <c r="E21" s="12" t="n">
        <f aca="false">COUNTIF('S1-Módulo A'!F12:F400,"Clase")</f>
        <v>32</v>
      </c>
      <c r="F21" s="14" t="s">
        <v>274</v>
      </c>
    </row>
    <row r="22" customFormat="false" ht="15" hidden="false" customHeight="true" outlineLevel="0" collapsed="false">
      <c r="B22" s="40" t="s">
        <v>275</v>
      </c>
      <c r="C22" s="12" t="s">
        <v>68</v>
      </c>
      <c r="D22" s="12" t="s">
        <v>276</v>
      </c>
      <c r="E22" s="12" t="n">
        <f aca="false">COUNTIF('S1-Módulo B'!F12:F400,"Clase")</f>
        <v>30</v>
      </c>
      <c r="F22" s="14" t="s">
        <v>274</v>
      </c>
    </row>
    <row r="24" customFormat="false" ht="15" hidden="false" customHeight="true" outlineLevel="0" collapsed="false">
      <c r="B24" s="42" t="s">
        <v>277</v>
      </c>
      <c r="C24" s="43"/>
      <c r="D24" s="43"/>
      <c r="E24" s="43"/>
      <c r="F24" s="43"/>
    </row>
    <row r="25" customFormat="false" ht="15" hidden="false" customHeight="true" outlineLevel="0" collapsed="false">
      <c r="B25" s="40" t="s">
        <v>278</v>
      </c>
      <c r="C25" s="12" t="s">
        <v>260</v>
      </c>
      <c r="D25" s="12" t="s">
        <v>279</v>
      </c>
      <c r="E25" s="12" t="n">
        <f aca="false">COUNTIF('S2-Módulo 1'!F12:F400,"Clase")</f>
        <v>16</v>
      </c>
      <c r="F25" s="14" t="s">
        <v>266</v>
      </c>
    </row>
    <row r="26" customFormat="false" ht="15" hidden="false" customHeight="true" outlineLevel="0" collapsed="false">
      <c r="B26" s="40" t="s">
        <v>280</v>
      </c>
      <c r="C26" s="12" t="s">
        <v>281</v>
      </c>
      <c r="D26" s="12" t="s">
        <v>282</v>
      </c>
      <c r="E26" s="12" t="n">
        <f aca="false">COUNTIF('S2-Módulo 2'!F12:F400,"Clase")</f>
        <v>13</v>
      </c>
      <c r="F26" s="14" t="s">
        <v>266</v>
      </c>
    </row>
    <row r="27" customFormat="false" ht="15" hidden="false" customHeight="true" outlineLevel="0" collapsed="false">
      <c r="B27" s="40" t="s">
        <v>283</v>
      </c>
      <c r="C27" s="12" t="s">
        <v>284</v>
      </c>
      <c r="D27" s="12" t="s">
        <v>285</v>
      </c>
      <c r="E27" s="12" t="n">
        <f aca="false">COUNTIF('S2-Módulo 3'!F12:F400,"Clase")</f>
        <v>16</v>
      </c>
      <c r="F27" s="14" t="s">
        <v>266</v>
      </c>
    </row>
    <row r="28" customFormat="false" ht="15" hidden="false" customHeight="true" outlineLevel="0" collapsed="false">
      <c r="B28" s="40" t="s">
        <v>286</v>
      </c>
      <c r="C28" s="12" t="s">
        <v>287</v>
      </c>
      <c r="D28" s="12" t="s">
        <v>261</v>
      </c>
      <c r="E28" s="12" t="n">
        <f aca="false">COUNTIF('S2-Módulo 4'!F12:F400,"Clase")</f>
        <v>16</v>
      </c>
      <c r="F28" s="14" t="s">
        <v>266</v>
      </c>
    </row>
    <row r="29" customFormat="false" ht="15" hidden="false" customHeight="true" outlineLevel="0" collapsed="false">
      <c r="B29" s="40" t="s">
        <v>288</v>
      </c>
      <c r="C29" s="12" t="s">
        <v>260</v>
      </c>
      <c r="D29" s="12" t="s">
        <v>289</v>
      </c>
      <c r="E29" s="12" t="n">
        <f aca="false">COUNTIF('S2-Módulo C'!F12:F400,"Clase")</f>
        <v>29</v>
      </c>
      <c r="F29" s="14" t="s">
        <v>274</v>
      </c>
    </row>
    <row r="30" customFormat="false" ht="15" hidden="false" customHeight="true" outlineLevel="0" collapsed="false">
      <c r="B30" s="40" t="s">
        <v>290</v>
      </c>
      <c r="C30" s="12" t="s">
        <v>284</v>
      </c>
      <c r="D30" s="12" t="s">
        <v>291</v>
      </c>
      <c r="E30" s="12" t="n">
        <f aca="false">COUNTIF('S2-Módulo D'!F12:F400,"Clase")</f>
        <v>32</v>
      </c>
      <c r="F30" s="14" t="s">
        <v>274</v>
      </c>
    </row>
    <row r="32" customFormat="false" ht="15" hidden="false" customHeight="true" outlineLevel="0" collapsed="false">
      <c r="B32" s="42" t="s">
        <v>292</v>
      </c>
      <c r="C32" s="43"/>
      <c r="D32" s="43"/>
      <c r="E32" s="43"/>
      <c r="F32" s="43"/>
    </row>
    <row r="33" customFormat="false" ht="15" hidden="false" customHeight="true" outlineLevel="0" collapsed="false">
      <c r="B33" s="40" t="s">
        <v>293</v>
      </c>
      <c r="C33" s="12" t="s">
        <v>294</v>
      </c>
      <c r="D33" s="12" t="s">
        <v>295</v>
      </c>
      <c r="E33" s="12" t="n">
        <f aca="false">COUNTIF('V-Módulo 1'!F12:F400,"Clase")</f>
        <v>15</v>
      </c>
      <c r="F33" s="14" t="s">
        <v>266</v>
      </c>
    </row>
    <row r="34" customFormat="false" ht="15" hidden="false" customHeight="true" outlineLevel="0" collapsed="false">
      <c r="B34" s="40" t="s">
        <v>296</v>
      </c>
      <c r="C34" s="12" t="s">
        <v>297</v>
      </c>
      <c r="D34" s="12" t="s">
        <v>298</v>
      </c>
      <c r="E34" s="12" t="n">
        <f aca="false">COUNTIF('V-Módulo 2'!F12:F400,"Clase")</f>
        <v>16</v>
      </c>
      <c r="F34" s="14" t="s">
        <v>266</v>
      </c>
    </row>
    <row r="35" customFormat="false" ht="15" hidden="false" customHeight="true" outlineLevel="0" collapsed="false">
      <c r="B35" s="40" t="s">
        <v>299</v>
      </c>
      <c r="C35" s="12" t="s">
        <v>300</v>
      </c>
      <c r="D35" s="12" t="s">
        <v>301</v>
      </c>
      <c r="E35" s="12" t="n">
        <f aca="false">COUNTIF('V-Módulo 3'!F12:F400,"Clase")</f>
        <v>16</v>
      </c>
      <c r="F35" s="14" t="s">
        <v>266</v>
      </c>
    </row>
    <row r="36" customFormat="false" ht="15" hidden="false" customHeight="true" outlineLevel="0" collapsed="false">
      <c r="B36" s="40" t="s">
        <v>302</v>
      </c>
      <c r="C36" s="12" t="s">
        <v>303</v>
      </c>
      <c r="D36" s="12" t="s">
        <v>304</v>
      </c>
      <c r="E36" s="12" t="n">
        <f aca="false">COUNTIF('V-En línea'!F12:F400,"Clase")</f>
        <v>32</v>
      </c>
      <c r="F36" s="14" t="s">
        <v>274</v>
      </c>
    </row>
    <row r="37" customFormat="false" ht="15" hidden="false" customHeight="true" outlineLevel="0" collapsed="false">
      <c r="B37" s="40" t="s">
        <v>305</v>
      </c>
      <c r="C37" s="12" t="s">
        <v>294</v>
      </c>
      <c r="D37" s="12" t="s">
        <v>306</v>
      </c>
      <c r="E37" s="12" t="n">
        <f aca="false">COUNTIF('V-Inglés E'!F12:F400,"Clase")</f>
        <v>27</v>
      </c>
      <c r="F37" s="14" t="s">
        <v>274</v>
      </c>
    </row>
    <row r="38" customFormat="false" ht="15" hidden="false" customHeight="true" outlineLevel="0" collapsed="false">
      <c r="B38" s="40" t="s">
        <v>307</v>
      </c>
      <c r="C38" s="12" t="s">
        <v>308</v>
      </c>
      <c r="D38" s="12" t="s">
        <v>309</v>
      </c>
      <c r="E38" s="12" t="n">
        <f aca="false">COUNTIF('V-Inglés F'!F12:F400,"Clase")</f>
        <v>27</v>
      </c>
      <c r="F38" s="14" t="s">
        <v>274</v>
      </c>
    </row>
  </sheetData>
  <hyperlinks>
    <hyperlink ref="B6" location="'Instrucciones'!B2" display="Instrucciones"/>
    <hyperlink ref="B7" location="'Feriados y Recesos'!B2" display="Feriados y Recesos"/>
    <hyperlink ref="B8" location="'Resumen Periodos'!B2" display="Resumen Periodos"/>
    <hyperlink ref="B11" location="'S1 Lun-Mié'!B11" display="S1 Lun-Mié"/>
    <hyperlink ref="B12" location="'S1 Mar-Jue'!B11" display="S1 Mar-Jue"/>
    <hyperlink ref="B13" location="'S2 Lun-Mié'!B11" display="S2 Lun-Mié"/>
    <hyperlink ref="B14" location="'S2 Mar-Jue'!B11" display="S2 Mar-Jue"/>
    <hyperlink ref="B17" location="'S1-Módulo 1'!B11" display="S1-Módulo 1"/>
    <hyperlink ref="B18" location="'S1-Módulo 2'!B11" display="S1-Módulo 2"/>
    <hyperlink ref="B19" location="'S1-Módulo 3'!B11" display="S1-Módulo 3"/>
    <hyperlink ref="B20" location="'S1-Módulo 4'!B11" display="S1-Módulo 4"/>
    <hyperlink ref="B21" location="'S1-Módulo A'!B11" display="S1-Módulo A"/>
    <hyperlink ref="B22" location="'S1-Módulo B'!B11" display="S1-Módulo B"/>
    <hyperlink ref="B25" location="'S2-Módulo 1'!B11" display="S2-Módulo 1"/>
    <hyperlink ref="B26" location="'S2-Módulo 2'!B11" display="S2-Módulo 2"/>
    <hyperlink ref="B27" location="'S2-Módulo 3'!B11" display="S2-Módulo 3"/>
    <hyperlink ref="B28" location="'S2-Módulo 4'!B11" display="S2-Módulo 4"/>
    <hyperlink ref="B29" location="'S2-Módulo C'!B11" display="S2-Módulo C"/>
    <hyperlink ref="B30" location="'S2-Módulo D'!B11" display="S2-Módulo D"/>
    <hyperlink ref="B33" location="'V-Módulo 1'!B11" display="V-Módulo 1"/>
    <hyperlink ref="B34" location="'V-Módulo 2'!B11" display="V-Módulo 2"/>
    <hyperlink ref="B35" location="'V-Módulo 3'!B11" display="V-Módulo 3"/>
    <hyperlink ref="B36" location="'V-En línea'!B11" display="V-En línea"/>
    <hyperlink ref="B37" location="'V-Inglés E'!B11" display="V-Inglés E"/>
    <hyperlink ref="B38" location="'V-Inglés F'!B11" display="V-Inglés 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6"/>
    <col collapsed="false" customWidth="true" hidden="false" outlineLevel="0" max="3" min="3" style="1" width="60"/>
  </cols>
  <sheetData>
    <row r="2" customFormat="false" ht="17.25" hidden="false" customHeight="true" outlineLevel="0" collapsed="false">
      <c r="B2" s="3" t="s">
        <v>310</v>
      </c>
    </row>
    <row r="3" customFormat="false" ht="15" hidden="false" customHeight="true" outlineLevel="0" collapsed="false">
      <c r="B3" s="5" t="s">
        <v>311</v>
      </c>
    </row>
    <row r="5" customFormat="false" ht="15" hidden="false" customHeight="true" outlineLevel="0" collapsed="false">
      <c r="B5" s="44" t="s">
        <v>312</v>
      </c>
      <c r="C5" s="45"/>
    </row>
    <row r="6" customFormat="false" ht="23.25" hidden="false" customHeight="true" outlineLevel="0" collapsed="false">
      <c r="B6" s="45" t="s">
        <v>313</v>
      </c>
      <c r="C6" s="45" t="s">
        <v>314</v>
      </c>
    </row>
    <row r="7" customFormat="false" ht="15" hidden="false" customHeight="true" outlineLevel="0" collapsed="false">
      <c r="B7" s="45" t="s">
        <v>315</v>
      </c>
      <c r="C7" s="45" t="s">
        <v>316</v>
      </c>
    </row>
    <row r="8" customFormat="false" ht="23.25" hidden="false" customHeight="true" outlineLevel="0" collapsed="false">
      <c r="B8" s="45" t="s">
        <v>249</v>
      </c>
      <c r="C8" s="45" t="s">
        <v>317</v>
      </c>
    </row>
    <row r="9" customFormat="false" ht="15" hidden="false" customHeight="true" outlineLevel="0" collapsed="false">
      <c r="B9" s="45" t="s">
        <v>251</v>
      </c>
      <c r="C9" s="45" t="s">
        <v>318</v>
      </c>
    </row>
    <row r="10" customFormat="false" ht="15" hidden="false" customHeight="true" outlineLevel="0" collapsed="false">
      <c r="B10" s="45" t="s">
        <v>319</v>
      </c>
      <c r="C10" s="45" t="s">
        <v>320</v>
      </c>
    </row>
    <row r="11" customFormat="false" ht="23.25" hidden="false" customHeight="true" outlineLevel="0" collapsed="false">
      <c r="B11" s="45" t="s">
        <v>321</v>
      </c>
      <c r="C11" s="45" t="s">
        <v>322</v>
      </c>
    </row>
    <row r="12" customFormat="false" ht="15" hidden="false" customHeight="true" outlineLevel="0" collapsed="false">
      <c r="B12" s="45" t="s">
        <v>323</v>
      </c>
      <c r="C12" s="45" t="s">
        <v>324</v>
      </c>
    </row>
    <row r="13" customFormat="false" ht="15" hidden="false" customHeight="true" outlineLevel="0" collapsed="false">
      <c r="B13" s="45"/>
      <c r="C13" s="45"/>
    </row>
    <row r="14" customFormat="false" ht="15" hidden="false" customHeight="true" outlineLevel="0" collapsed="false">
      <c r="B14" s="44" t="s">
        <v>325</v>
      </c>
      <c r="C14" s="45"/>
    </row>
    <row r="15" customFormat="false" ht="15" hidden="false" customHeight="true" outlineLevel="0" collapsed="false">
      <c r="B15" s="45" t="s">
        <v>326</v>
      </c>
      <c r="C15" s="45" t="s">
        <v>327</v>
      </c>
    </row>
    <row r="16" customFormat="false" ht="23.25" hidden="false" customHeight="true" outlineLevel="0" collapsed="false">
      <c r="B16" s="45" t="s">
        <v>21</v>
      </c>
      <c r="C16" s="45" t="s">
        <v>328</v>
      </c>
    </row>
    <row r="17" customFormat="false" ht="15" hidden="false" customHeight="true" outlineLevel="0" collapsed="false">
      <c r="B17" s="45" t="s">
        <v>80</v>
      </c>
      <c r="C17" s="45" t="s">
        <v>329</v>
      </c>
    </row>
    <row r="18" customFormat="false" ht="23.25" hidden="false" customHeight="true" outlineLevel="0" collapsed="false">
      <c r="B18" s="45" t="s">
        <v>65</v>
      </c>
      <c r="C18" s="45" t="s">
        <v>330</v>
      </c>
    </row>
    <row r="19" customFormat="false" ht="23.25" hidden="false" customHeight="true" outlineLevel="0" collapsed="false">
      <c r="B19" s="45" t="s">
        <v>331</v>
      </c>
      <c r="C19" s="45" t="s">
        <v>332</v>
      </c>
    </row>
    <row r="20" customFormat="false" ht="15" hidden="false" customHeight="true" outlineLevel="0" collapsed="false">
      <c r="B20" s="45"/>
      <c r="C20" s="45"/>
    </row>
    <row r="21" customFormat="false" ht="15" hidden="false" customHeight="true" outlineLevel="0" collapsed="false">
      <c r="B21" s="45" t="s">
        <v>333</v>
      </c>
      <c r="C21" s="45" t="s">
        <v>334</v>
      </c>
    </row>
    <row r="22" customFormat="false" ht="15" hidden="false" customHeight="true" outlineLevel="0" collapsed="false">
      <c r="B22" s="45"/>
      <c r="C22" s="45"/>
    </row>
    <row r="23" customFormat="false" ht="15" hidden="false" customHeight="true" outlineLevel="0" collapsed="false">
      <c r="B23" s="44" t="s">
        <v>335</v>
      </c>
      <c r="C23" s="45"/>
    </row>
    <row r="24" customFormat="false" ht="23.25" hidden="false" customHeight="true" outlineLevel="0" collapsed="false">
      <c r="B24" s="45" t="s">
        <v>336</v>
      </c>
      <c r="C24" s="45" t="s">
        <v>337</v>
      </c>
    </row>
    <row r="25" customFormat="false" ht="34.5" hidden="false" customHeight="true" outlineLevel="0" collapsed="false">
      <c r="B25" s="45" t="s">
        <v>338</v>
      </c>
      <c r="C25" s="45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4"/>
    <col collapsed="false" customWidth="true" hidden="false" outlineLevel="0" max="4" min="3" style="1" width="15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32"/>
  </cols>
  <sheetData>
    <row r="2" customFormat="false" ht="17.25" hidden="false" customHeight="true" outlineLevel="0" collapsed="false">
      <c r="B2" s="3" t="s">
        <v>340</v>
      </c>
    </row>
    <row r="4" customFormat="false" ht="15" hidden="false" customHeight="true" outlineLevel="0" collapsed="false">
      <c r="B4" s="11" t="s">
        <v>341</v>
      </c>
      <c r="C4" s="11" t="s">
        <v>243</v>
      </c>
      <c r="D4" s="11" t="s">
        <v>244</v>
      </c>
      <c r="E4" s="11" t="s">
        <v>342</v>
      </c>
      <c r="F4" s="11" t="s">
        <v>343</v>
      </c>
      <c r="G4" s="11" t="s">
        <v>344</v>
      </c>
    </row>
    <row r="5" customFormat="false" ht="15" hidden="false" customHeight="true" outlineLevel="0" collapsed="false">
      <c r="B5" s="20" t="s">
        <v>345</v>
      </c>
      <c r="C5" s="19" t="s">
        <v>346</v>
      </c>
      <c r="D5" s="19" t="s">
        <v>347</v>
      </c>
      <c r="E5" s="19" t="s">
        <v>348</v>
      </c>
      <c r="F5" s="19" t="n">
        <v>3</v>
      </c>
      <c r="G5" s="19" t="s">
        <v>349</v>
      </c>
    </row>
    <row r="6" customFormat="false" ht="15" hidden="false" customHeight="true" outlineLevel="0" collapsed="false">
      <c r="B6" s="18" t="s">
        <v>66</v>
      </c>
      <c r="C6" s="17" t="s">
        <v>268</v>
      </c>
      <c r="D6" s="17" t="s">
        <v>350</v>
      </c>
      <c r="E6" s="17" t="s">
        <v>351</v>
      </c>
      <c r="F6" s="17" t="n">
        <v>10</v>
      </c>
      <c r="G6" s="17" t="s">
        <v>352</v>
      </c>
    </row>
    <row r="7" customFormat="false" ht="15" hidden="false" customHeight="true" outlineLevel="0" collapsed="false">
      <c r="B7" s="20" t="s">
        <v>81</v>
      </c>
      <c r="C7" s="19" t="s">
        <v>353</v>
      </c>
      <c r="D7" s="19" t="s">
        <v>354</v>
      </c>
      <c r="E7" s="19" t="s">
        <v>348</v>
      </c>
      <c r="F7" s="19" t="n">
        <v>4</v>
      </c>
      <c r="G7" s="19" t="s">
        <v>349</v>
      </c>
    </row>
    <row r="8" customFormat="false" ht="15" hidden="false" customHeight="true" outlineLevel="0" collapsed="false">
      <c r="B8" s="18" t="s">
        <v>355</v>
      </c>
      <c r="C8" s="17" t="s">
        <v>356</v>
      </c>
      <c r="D8" s="17" t="s">
        <v>357</v>
      </c>
      <c r="E8" s="17" t="s">
        <v>351</v>
      </c>
      <c r="F8" s="17" t="n">
        <v>30</v>
      </c>
      <c r="G8" s="17" t="s">
        <v>352</v>
      </c>
    </row>
    <row r="9" customFormat="false" ht="15" hidden="false" customHeight="true" outlineLevel="0" collapsed="false">
      <c r="B9" s="18" t="s">
        <v>358</v>
      </c>
      <c r="C9" s="17" t="s">
        <v>359</v>
      </c>
      <c r="D9" s="17" t="s">
        <v>360</v>
      </c>
      <c r="E9" s="17" t="s">
        <v>351</v>
      </c>
      <c r="F9" s="17" t="n">
        <v>16</v>
      </c>
      <c r="G9" s="17" t="s">
        <v>352</v>
      </c>
    </row>
    <row r="10" customFormat="false" ht="15" hidden="false" customHeight="true" outlineLevel="0" collapsed="false">
      <c r="B10" s="20" t="s">
        <v>361</v>
      </c>
      <c r="C10" s="19" t="s">
        <v>362</v>
      </c>
      <c r="D10" s="19" t="s">
        <v>363</v>
      </c>
      <c r="E10" s="19" t="s">
        <v>348</v>
      </c>
      <c r="F10" s="19" t="n">
        <v>4</v>
      </c>
      <c r="G10" s="19" t="s">
        <v>349</v>
      </c>
    </row>
    <row r="11" customFormat="false" ht="15" hidden="false" customHeight="true" outlineLevel="0" collapsed="false">
      <c r="B11" s="20" t="s">
        <v>364</v>
      </c>
      <c r="C11" s="19" t="s">
        <v>365</v>
      </c>
      <c r="D11" s="19" t="s">
        <v>365</v>
      </c>
      <c r="E11" s="19" t="s">
        <v>348</v>
      </c>
      <c r="F11" s="19" t="n">
        <v>1</v>
      </c>
      <c r="G11" s="19" t="s">
        <v>349</v>
      </c>
    </row>
    <row r="12" customFormat="false" ht="15" hidden="false" customHeight="true" outlineLevel="0" collapsed="false">
      <c r="B12" s="18" t="s">
        <v>366</v>
      </c>
      <c r="C12" s="17" t="s">
        <v>367</v>
      </c>
      <c r="D12" s="17" t="s">
        <v>368</v>
      </c>
      <c r="E12" s="17" t="s">
        <v>351</v>
      </c>
      <c r="F12" s="17" t="n">
        <v>7</v>
      </c>
      <c r="G12" s="17" t="s">
        <v>352</v>
      </c>
    </row>
    <row r="13" customFormat="false" ht="15" hidden="false" customHeight="true" outlineLevel="0" collapsed="false">
      <c r="B13" s="20" t="s">
        <v>369</v>
      </c>
      <c r="C13" s="19" t="s">
        <v>370</v>
      </c>
      <c r="D13" s="19" t="s">
        <v>371</v>
      </c>
      <c r="E13" s="19" t="s">
        <v>348</v>
      </c>
      <c r="F13" s="19" t="n">
        <v>3</v>
      </c>
      <c r="G13" s="19" t="s">
        <v>349</v>
      </c>
    </row>
    <row r="14" customFormat="false" ht="15" hidden="false" customHeight="true" outlineLevel="0" collapsed="false">
      <c r="B14" s="20" t="s">
        <v>372</v>
      </c>
      <c r="C14" s="19" t="s">
        <v>373</v>
      </c>
      <c r="D14" s="19" t="s">
        <v>374</v>
      </c>
      <c r="E14" s="19" t="s">
        <v>348</v>
      </c>
      <c r="F14" s="19" t="n">
        <v>3</v>
      </c>
      <c r="G14" s="19" t="s">
        <v>349</v>
      </c>
    </row>
    <row r="15" customFormat="false" ht="15" hidden="false" customHeight="true" outlineLevel="0" collapsed="false">
      <c r="B15" s="20" t="s">
        <v>375</v>
      </c>
      <c r="C15" s="19" t="s">
        <v>376</v>
      </c>
      <c r="D15" s="19" t="s">
        <v>377</v>
      </c>
      <c r="E15" s="19" t="s">
        <v>348</v>
      </c>
      <c r="F15" s="19" t="n">
        <v>3</v>
      </c>
      <c r="G15" s="19" t="s">
        <v>349</v>
      </c>
    </row>
    <row r="16" customFormat="false" ht="15" hidden="false" customHeight="true" outlineLevel="0" collapsed="false">
      <c r="B16" s="20" t="s">
        <v>345</v>
      </c>
      <c r="C16" s="19" t="s">
        <v>378</v>
      </c>
      <c r="D16" s="19" t="s">
        <v>379</v>
      </c>
      <c r="E16" s="19" t="s">
        <v>348</v>
      </c>
      <c r="F16" s="19" t="n">
        <v>3</v>
      </c>
      <c r="G16" s="19" t="s">
        <v>349</v>
      </c>
    </row>
    <row r="18" customFormat="false" ht="15" hidden="false" customHeight="true" outlineLevel="0" collapsed="false">
      <c r="B18" s="5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4"/>
    <col collapsed="false" customWidth="true" hidden="false" outlineLevel="0" max="4" min="3" style="1" width="15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4"/>
  </cols>
  <sheetData>
    <row r="2" customFormat="false" ht="17.25" hidden="false" customHeight="true" outlineLevel="0" collapsed="false">
      <c r="B2" s="3" t="s">
        <v>381</v>
      </c>
    </row>
    <row r="4" customFormat="false" ht="15" hidden="false" customHeight="true" outlineLevel="0" collapsed="false">
      <c r="B4" s="11" t="s">
        <v>382</v>
      </c>
      <c r="C4" s="11" t="s">
        <v>243</v>
      </c>
      <c r="D4" s="11" t="s">
        <v>244</v>
      </c>
      <c r="E4" s="11" t="s">
        <v>8</v>
      </c>
      <c r="F4" s="11" t="s">
        <v>383</v>
      </c>
      <c r="G4" s="11" t="s">
        <v>384</v>
      </c>
      <c r="H4" s="11" t="s">
        <v>385</v>
      </c>
    </row>
    <row r="5" customFormat="false" ht="23.25" hidden="false" customHeight="true" outlineLevel="0" collapsed="false">
      <c r="B5" s="46" t="s">
        <v>386</v>
      </c>
      <c r="C5" s="47" t="s">
        <v>19</v>
      </c>
      <c r="D5" s="47" t="s">
        <v>255</v>
      </c>
      <c r="E5" s="47" t="n">
        <v>18</v>
      </c>
      <c r="F5" s="47" t="s">
        <v>387</v>
      </c>
      <c r="G5" s="47" t="s">
        <v>388</v>
      </c>
      <c r="H5" s="47" t="s">
        <v>389</v>
      </c>
    </row>
    <row r="6" customFormat="false" ht="23.25" hidden="false" customHeight="true" outlineLevel="0" collapsed="false">
      <c r="B6" s="14" t="s">
        <v>390</v>
      </c>
      <c r="C6" s="12" t="s">
        <v>260</v>
      </c>
      <c r="D6" s="12" t="s">
        <v>261</v>
      </c>
      <c r="E6" s="12" t="n">
        <v>18</v>
      </c>
      <c r="F6" s="12" t="s">
        <v>387</v>
      </c>
      <c r="G6" s="12" t="s">
        <v>388</v>
      </c>
      <c r="H6" s="12" t="s">
        <v>389</v>
      </c>
    </row>
    <row r="7" customFormat="false" ht="15" hidden="false" customHeight="true" outlineLevel="0" collapsed="false">
      <c r="B7" s="46" t="s">
        <v>391</v>
      </c>
      <c r="C7" s="47" t="s">
        <v>19</v>
      </c>
      <c r="D7" s="47" t="s">
        <v>265</v>
      </c>
      <c r="E7" s="47" t="n">
        <v>4</v>
      </c>
      <c r="F7" s="47" t="s">
        <v>387</v>
      </c>
      <c r="G7" s="47" t="s">
        <v>392</v>
      </c>
      <c r="H7" s="47" t="s">
        <v>393</v>
      </c>
    </row>
    <row r="8" customFormat="false" ht="15" hidden="false" customHeight="true" outlineLevel="0" collapsed="false">
      <c r="B8" s="14" t="s">
        <v>394</v>
      </c>
      <c r="C8" s="12" t="s">
        <v>43</v>
      </c>
      <c r="D8" s="12" t="s">
        <v>268</v>
      </c>
      <c r="E8" s="12" t="n">
        <v>4</v>
      </c>
      <c r="F8" s="12" t="s">
        <v>387</v>
      </c>
      <c r="G8" s="12" t="s">
        <v>392</v>
      </c>
      <c r="H8" s="12" t="s">
        <v>393</v>
      </c>
    </row>
    <row r="9" customFormat="false" ht="15" hidden="false" customHeight="true" outlineLevel="0" collapsed="false">
      <c r="B9" s="46" t="s">
        <v>395</v>
      </c>
      <c r="C9" s="47" t="s">
        <v>68</v>
      </c>
      <c r="D9" s="47" t="s">
        <v>270</v>
      </c>
      <c r="E9" s="47" t="n">
        <v>4</v>
      </c>
      <c r="F9" s="47" t="s">
        <v>387</v>
      </c>
      <c r="G9" s="47" t="s">
        <v>392</v>
      </c>
      <c r="H9" s="47" t="s">
        <v>393</v>
      </c>
    </row>
    <row r="10" customFormat="false" ht="15" hidden="false" customHeight="true" outlineLevel="0" collapsed="false">
      <c r="B10" s="14" t="s">
        <v>396</v>
      </c>
      <c r="C10" s="12" t="s">
        <v>90</v>
      </c>
      <c r="D10" s="12" t="s">
        <v>255</v>
      </c>
      <c r="E10" s="12" t="n">
        <v>4</v>
      </c>
      <c r="F10" s="12" t="s">
        <v>387</v>
      </c>
      <c r="G10" s="12" t="s">
        <v>392</v>
      </c>
      <c r="H10" s="12" t="s">
        <v>393</v>
      </c>
    </row>
    <row r="11" customFormat="false" ht="15" hidden="false" customHeight="true" outlineLevel="0" collapsed="false">
      <c r="B11" s="46" t="s">
        <v>397</v>
      </c>
      <c r="C11" s="47" t="s">
        <v>19</v>
      </c>
      <c r="D11" s="47" t="s">
        <v>273</v>
      </c>
      <c r="E11" s="47" t="n">
        <v>8</v>
      </c>
      <c r="F11" s="47" t="s">
        <v>398</v>
      </c>
      <c r="G11" s="47" t="s">
        <v>399</v>
      </c>
      <c r="H11" s="47" t="s">
        <v>389</v>
      </c>
    </row>
    <row r="12" customFormat="false" ht="15" hidden="false" customHeight="true" outlineLevel="0" collapsed="false">
      <c r="B12" s="14" t="s">
        <v>400</v>
      </c>
      <c r="C12" s="12" t="s">
        <v>68</v>
      </c>
      <c r="D12" s="12" t="s">
        <v>276</v>
      </c>
      <c r="E12" s="12" t="n">
        <v>8</v>
      </c>
      <c r="F12" s="12" t="s">
        <v>398</v>
      </c>
      <c r="G12" s="12" t="s">
        <v>399</v>
      </c>
      <c r="H12" s="12" t="s">
        <v>389</v>
      </c>
    </row>
    <row r="13" customFormat="false" ht="15" hidden="false" customHeight="true" outlineLevel="0" collapsed="false">
      <c r="B13" s="46" t="s">
        <v>401</v>
      </c>
      <c r="C13" s="47" t="s">
        <v>260</v>
      </c>
      <c r="D13" s="47" t="s">
        <v>279</v>
      </c>
      <c r="E13" s="47" t="n">
        <v>4</v>
      </c>
      <c r="F13" s="47" t="s">
        <v>387</v>
      </c>
      <c r="G13" s="47" t="s">
        <v>392</v>
      </c>
      <c r="H13" s="47" t="s">
        <v>393</v>
      </c>
    </row>
    <row r="14" customFormat="false" ht="15" hidden="false" customHeight="true" outlineLevel="0" collapsed="false">
      <c r="B14" s="14" t="s">
        <v>402</v>
      </c>
      <c r="C14" s="12" t="s">
        <v>281</v>
      </c>
      <c r="D14" s="12" t="s">
        <v>282</v>
      </c>
      <c r="E14" s="12" t="n">
        <v>4</v>
      </c>
      <c r="F14" s="12" t="s">
        <v>387</v>
      </c>
      <c r="G14" s="12" t="s">
        <v>392</v>
      </c>
      <c r="H14" s="12" t="s">
        <v>393</v>
      </c>
    </row>
    <row r="15" customFormat="false" ht="15" hidden="false" customHeight="true" outlineLevel="0" collapsed="false">
      <c r="B15" s="46" t="s">
        <v>403</v>
      </c>
      <c r="C15" s="47" t="s">
        <v>284</v>
      </c>
      <c r="D15" s="47" t="s">
        <v>285</v>
      </c>
      <c r="E15" s="47" t="n">
        <v>4</v>
      </c>
      <c r="F15" s="47" t="s">
        <v>387</v>
      </c>
      <c r="G15" s="47" t="s">
        <v>392</v>
      </c>
      <c r="H15" s="47" t="s">
        <v>393</v>
      </c>
    </row>
    <row r="16" customFormat="false" ht="15" hidden="false" customHeight="true" outlineLevel="0" collapsed="false">
      <c r="B16" s="14" t="s">
        <v>404</v>
      </c>
      <c r="C16" s="12" t="s">
        <v>287</v>
      </c>
      <c r="D16" s="12" t="s">
        <v>261</v>
      </c>
      <c r="E16" s="12" t="n">
        <v>4</v>
      </c>
      <c r="F16" s="12" t="s">
        <v>387</v>
      </c>
      <c r="G16" s="12" t="s">
        <v>392</v>
      </c>
      <c r="H16" s="12" t="s">
        <v>393</v>
      </c>
    </row>
    <row r="17" customFormat="false" ht="15" hidden="false" customHeight="true" outlineLevel="0" collapsed="false">
      <c r="B17" s="46" t="s">
        <v>405</v>
      </c>
      <c r="C17" s="47" t="s">
        <v>260</v>
      </c>
      <c r="D17" s="47" t="s">
        <v>289</v>
      </c>
      <c r="E17" s="47" t="n">
        <v>8</v>
      </c>
      <c r="F17" s="47" t="s">
        <v>398</v>
      </c>
      <c r="G17" s="47" t="s">
        <v>399</v>
      </c>
      <c r="H17" s="47" t="s">
        <v>389</v>
      </c>
    </row>
    <row r="18" customFormat="false" ht="15" hidden="false" customHeight="true" outlineLevel="0" collapsed="false">
      <c r="B18" s="14" t="s">
        <v>406</v>
      </c>
      <c r="C18" s="12" t="s">
        <v>284</v>
      </c>
      <c r="D18" s="12" t="s">
        <v>291</v>
      </c>
      <c r="E18" s="12" t="n">
        <v>8</v>
      </c>
      <c r="F18" s="12" t="s">
        <v>398</v>
      </c>
      <c r="G18" s="12" t="s">
        <v>399</v>
      </c>
      <c r="H18" s="12" t="s">
        <v>389</v>
      </c>
    </row>
    <row r="19" customFormat="false" ht="15" hidden="false" customHeight="true" outlineLevel="0" collapsed="false">
      <c r="B19" s="46" t="s">
        <v>407</v>
      </c>
      <c r="C19" s="47" t="s">
        <v>294</v>
      </c>
      <c r="D19" s="47" t="s">
        <v>295</v>
      </c>
      <c r="E19" s="47" t="n">
        <v>4</v>
      </c>
      <c r="F19" s="47" t="s">
        <v>387</v>
      </c>
      <c r="G19" s="47" t="s">
        <v>392</v>
      </c>
      <c r="H19" s="47" t="s">
        <v>393</v>
      </c>
    </row>
    <row r="20" customFormat="false" ht="15" hidden="false" customHeight="true" outlineLevel="0" collapsed="false">
      <c r="B20" s="14" t="s">
        <v>408</v>
      </c>
      <c r="C20" s="12" t="s">
        <v>297</v>
      </c>
      <c r="D20" s="12" t="s">
        <v>298</v>
      </c>
      <c r="E20" s="12" t="n">
        <v>4</v>
      </c>
      <c r="F20" s="12" t="s">
        <v>387</v>
      </c>
      <c r="G20" s="12" t="s">
        <v>392</v>
      </c>
      <c r="H20" s="12" t="s">
        <v>393</v>
      </c>
    </row>
    <row r="21" customFormat="false" ht="15" hidden="false" customHeight="true" outlineLevel="0" collapsed="false">
      <c r="B21" s="46" t="s">
        <v>409</v>
      </c>
      <c r="C21" s="47" t="s">
        <v>300</v>
      </c>
      <c r="D21" s="47" t="s">
        <v>301</v>
      </c>
      <c r="E21" s="47" t="n">
        <v>4</v>
      </c>
      <c r="F21" s="47" t="s">
        <v>387</v>
      </c>
      <c r="G21" s="47" t="s">
        <v>392</v>
      </c>
      <c r="H21" s="47" t="s">
        <v>393</v>
      </c>
    </row>
    <row r="22" customFormat="false" ht="15" hidden="false" customHeight="true" outlineLevel="0" collapsed="false">
      <c r="B22" s="14" t="s">
        <v>410</v>
      </c>
      <c r="C22" s="12" t="s">
        <v>303</v>
      </c>
      <c r="D22" s="12" t="s">
        <v>304</v>
      </c>
      <c r="E22" s="12" t="n">
        <v>8</v>
      </c>
      <c r="F22" s="12" t="s">
        <v>411</v>
      </c>
      <c r="G22" s="12" t="s">
        <v>399</v>
      </c>
      <c r="H22" s="12" t="s">
        <v>389</v>
      </c>
    </row>
    <row r="23" customFormat="false" ht="15" hidden="false" customHeight="true" outlineLevel="0" collapsed="false">
      <c r="B23" s="46" t="s">
        <v>412</v>
      </c>
      <c r="C23" s="47" t="s">
        <v>294</v>
      </c>
      <c r="D23" s="47" t="s">
        <v>306</v>
      </c>
      <c r="E23" s="47" t="n">
        <v>7</v>
      </c>
      <c r="F23" s="47" t="s">
        <v>413</v>
      </c>
      <c r="G23" s="47" t="s">
        <v>399</v>
      </c>
      <c r="H23" s="47" t="s">
        <v>389</v>
      </c>
    </row>
    <row r="24" customFormat="false" ht="15" hidden="false" customHeight="true" outlineLevel="0" collapsed="false">
      <c r="B24" s="14" t="s">
        <v>414</v>
      </c>
      <c r="C24" s="12" t="s">
        <v>308</v>
      </c>
      <c r="D24" s="12" t="s">
        <v>309</v>
      </c>
      <c r="E24" s="12" t="n">
        <v>7</v>
      </c>
      <c r="F24" s="12" t="s">
        <v>413</v>
      </c>
      <c r="G24" s="12" t="s">
        <v>399</v>
      </c>
      <c r="H24" s="12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415</v>
      </c>
      <c r="K2" s="4" t="s">
        <v>2</v>
      </c>
    </row>
    <row r="3" customFormat="false" ht="15" hidden="false" customHeight="true" outlineLevel="0" collapsed="false">
      <c r="B3" s="5" t="s">
        <v>3</v>
      </c>
      <c r="K3" s="6" t="s">
        <v>4</v>
      </c>
      <c r="L3" s="7" t="n">
        <f aca="false">COUNTIF(F12:F45,"Clase")</f>
        <v>31</v>
      </c>
    </row>
    <row r="4" customFormat="false" ht="15" hidden="false" customHeight="true" outlineLevel="0" collapsed="false">
      <c r="B4" s="8" t="s">
        <v>5</v>
      </c>
      <c r="K4" s="6" t="s">
        <v>6</v>
      </c>
      <c r="L4" s="7" t="n">
        <f aca="false">COUNTIF(F12:F45,"Asincrónico")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COUNTIF(F12:F45,"FERIADO")+COUNTIF(F12:F45,"RECESO")</f>
        <v>3</v>
      </c>
    </row>
    <row r="6" customFormat="false" ht="15" hidden="false" customHeight="true" outlineLevel="0" collapsed="false">
      <c r="K6" s="6" t="s">
        <v>8</v>
      </c>
      <c r="L6" s="7" t="n">
        <f aca="false">MAX(B12:B45)</f>
        <v>17</v>
      </c>
    </row>
    <row r="7" customFormat="false" ht="15" hidden="false" customHeight="true" outlineLevel="0" collapsed="false">
      <c r="K7" s="6" t="s">
        <v>9</v>
      </c>
      <c r="L7" s="9" t="str">
        <f aca="false">"07-dic-2026 al 10-dic-2026"</f>
        <v>07-dic-2026 al 10-dic-2026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416</v>
      </c>
      <c r="E12" s="12" t="s">
        <v>417</v>
      </c>
      <c r="F12" s="12" t="s">
        <v>21</v>
      </c>
      <c r="G12" s="14"/>
      <c r="H12" s="14"/>
      <c r="I12" s="14"/>
    </row>
    <row r="13" customFormat="false" ht="1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418</v>
      </c>
      <c r="E13" s="12" t="s">
        <v>419</v>
      </c>
      <c r="F13" s="12" t="s">
        <v>21</v>
      </c>
      <c r="G13" s="14"/>
      <c r="H13" s="14"/>
      <c r="I13" s="14"/>
    </row>
    <row r="14" customFormat="false" ht="15" hidden="false" customHeight="true" outlineLevel="0" collapsed="false">
      <c r="B14" s="12" t="n">
        <v>2</v>
      </c>
      <c r="C14" s="12" t="n">
        <f aca="false">IF(OR(F14="FERIADO",F14="RECESO"),"—",ROWS($F$12:F14)-COUNTIF($F$12:F14,"FERIADO")-COUNTIF($F$12:F14,"RECESO"))</f>
        <v>3</v>
      </c>
      <c r="D14" s="12" t="s">
        <v>420</v>
      </c>
      <c r="E14" s="12" t="s">
        <v>417</v>
      </c>
      <c r="F14" s="12" t="s">
        <v>21</v>
      </c>
      <c r="G14" s="14"/>
      <c r="H14" s="14"/>
      <c r="I14" s="14"/>
    </row>
    <row r="15" customFormat="false" ht="15" hidden="false" customHeight="true" outlineLevel="0" collapsed="false">
      <c r="B15" s="12" t="n">
        <v>2</v>
      </c>
      <c r="C15" s="12" t="n">
        <f aca="false">IF(OR(F15="FERIADO",F15="RECESO"),"—",ROWS($F$12:F15)-COUNTIF($F$12:F15,"FERIADO")-COUNTIF($F$12:F15,"RECESO"))</f>
        <v>4</v>
      </c>
      <c r="D15" s="12" t="s">
        <v>421</v>
      </c>
      <c r="E15" s="12" t="s">
        <v>419</v>
      </c>
      <c r="F15" s="12" t="s">
        <v>21</v>
      </c>
      <c r="G15" s="14"/>
      <c r="H15" s="14"/>
      <c r="I15" s="14"/>
    </row>
    <row r="16" customFormat="false" ht="15" hidden="false" customHeight="true" outlineLevel="0" collapsed="false">
      <c r="B16" s="12" t="n">
        <v>3</v>
      </c>
      <c r="C16" s="12" t="n">
        <f aca="false">IF(OR(F16="FERIADO",F16="RECESO"),"—",ROWS($F$12:F16)-COUNTIF($F$12:F16,"FERIADO")-COUNTIF($F$12:F16,"RECESO"))</f>
        <v>5</v>
      </c>
      <c r="D16" s="12" t="s">
        <v>422</v>
      </c>
      <c r="E16" s="12" t="s">
        <v>417</v>
      </c>
      <c r="F16" s="12" t="s">
        <v>21</v>
      </c>
      <c r="G16" s="14"/>
      <c r="H16" s="14"/>
      <c r="I16" s="14"/>
    </row>
    <row r="17" customFormat="false" ht="15" hidden="false" customHeight="true" outlineLevel="0" collapsed="false">
      <c r="B17" s="12" t="n">
        <v>3</v>
      </c>
      <c r="C17" s="12" t="n">
        <f aca="false">IF(OR(F17="FERIADO",F17="RECESO"),"—",ROWS($F$12:F17)-COUNTIF($F$12:F17,"FERIADO")-COUNTIF($F$12:F17,"RECESO"))</f>
        <v>6</v>
      </c>
      <c r="D17" s="12" t="s">
        <v>423</v>
      </c>
      <c r="E17" s="12" t="s">
        <v>419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4</v>
      </c>
      <c r="C18" s="12" t="n">
        <f aca="false">IF(OR(F18="FERIADO",F18="RECESO"),"—",ROWS($F$12:F18)-COUNTIF($F$12:F18,"FERIADO")-COUNTIF($F$12:F18,"RECESO"))</f>
        <v>7</v>
      </c>
      <c r="D18" s="12" t="s">
        <v>424</v>
      </c>
      <c r="E18" s="12" t="s">
        <v>417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4</v>
      </c>
      <c r="C19" s="12" t="n">
        <f aca="false">IF(OR(F19="FERIADO",F19="RECESO"),"—",ROWS($F$12:F19)-COUNTIF($F$12:F19,"FERIADO")-COUNTIF($F$12:F19,"RECESO"))</f>
        <v>8</v>
      </c>
      <c r="D19" s="12" t="s">
        <v>425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5</v>
      </c>
      <c r="C20" s="12" t="n">
        <f aca="false">IF(OR(F20="FERIADO",F20="RECESO"),"—",ROWS($F$12:F20)-COUNTIF($F$12:F20,"FERIADO")-COUNTIF($F$12:F20,"RECESO"))</f>
        <v>9</v>
      </c>
      <c r="D20" s="12" t="s">
        <v>426</v>
      </c>
      <c r="E20" s="12" t="s">
        <v>417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5</v>
      </c>
      <c r="C21" s="12" t="n">
        <f aca="false">IF(OR(F21="FERIADO",F21="RECESO"),"—",ROWS($F$12:F21)-COUNTIF($F$12:F21,"FERIADO")-COUNTIF($F$12:F21,"RECESO"))</f>
        <v>10</v>
      </c>
      <c r="D21" s="12" t="s">
        <v>427</v>
      </c>
      <c r="E21" s="12" t="s">
        <v>419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6</v>
      </c>
      <c r="C22" s="12" t="n">
        <f aca="false">IF(OR(F22="FERIADO",F22="RECESO"),"—",ROWS($F$12:F22)-COUNTIF($F$12:F22,"FERIADO")-COUNTIF($F$12:F22,"RECESO"))</f>
        <v>11</v>
      </c>
      <c r="D22" s="12" t="s">
        <v>428</v>
      </c>
      <c r="E22" s="12" t="s">
        <v>417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6</v>
      </c>
      <c r="C23" s="12" t="n">
        <f aca="false">IF(OR(F23="FERIADO",F23="RECESO"),"—",ROWS($F$12:F23)-COUNTIF($F$12:F23,"FERIADO")-COUNTIF($F$12:F23,"RECESO"))</f>
        <v>12</v>
      </c>
      <c r="D23" s="12" t="s">
        <v>429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7</v>
      </c>
      <c r="C24" s="12" t="n">
        <f aca="false">IF(OR(F24="FERIADO",F24="RECESO"),"—",ROWS($F$12:F24)-COUNTIF($F$12:F24,"FERIADO")-COUNTIF($F$12:F24,"RECESO"))</f>
        <v>13</v>
      </c>
      <c r="D24" s="12" t="s">
        <v>430</v>
      </c>
      <c r="E24" s="12" t="s">
        <v>417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7</v>
      </c>
      <c r="C25" s="12" t="n">
        <f aca="false">IF(OR(F25="FERIADO",F25="RECESO"),"—",ROWS($F$12:F25)-COUNTIF($F$12:F25,"FERIADO")-COUNTIF($F$12:F25,"RECESO"))</f>
        <v>14</v>
      </c>
      <c r="D25" s="12" t="s">
        <v>431</v>
      </c>
      <c r="E25" s="12" t="s">
        <v>419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8</v>
      </c>
      <c r="C26" s="12" t="n">
        <f aca="false">IF(OR(F26="FERIADO",F26="RECESO"),"—",ROWS($F$12:F26)-COUNTIF($F$12:F26,"FERIADO")-COUNTIF($F$12:F26,"RECESO"))</f>
        <v>15</v>
      </c>
      <c r="D26" s="12" t="s">
        <v>432</v>
      </c>
      <c r="E26" s="12" t="s">
        <v>417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8</v>
      </c>
      <c r="C27" s="12" t="n">
        <f aca="false">IF(OR(F27="FERIADO",F27="RECESO"),"—",ROWS($F$12:F27)-COUNTIF($F$12:F27,"FERIADO")-COUNTIF($F$12:F27,"RECESO"))</f>
        <v>16</v>
      </c>
      <c r="D27" s="12" t="s">
        <v>433</v>
      </c>
      <c r="E27" s="12" t="s">
        <v>419</v>
      </c>
      <c r="F27" s="12" t="s">
        <v>21</v>
      </c>
      <c r="G27" s="14"/>
      <c r="H27" s="14"/>
      <c r="I27" s="14"/>
    </row>
    <row r="28" customFormat="false" ht="23.25" hidden="false" customHeight="true" outlineLevel="0" collapsed="false">
      <c r="B28" s="17" t="n">
        <v>9</v>
      </c>
      <c r="C28" s="17" t="str">
        <f aca="false">IF(OR(F28="FERIADO",F28="RECESO"),"—",ROWS($F$12:F28)-COUNTIF($F$12:F28,"FERIADO")-COUNTIF($F$12:F28,"RECESO"))</f>
        <v>—</v>
      </c>
      <c r="D28" s="17" t="s">
        <v>434</v>
      </c>
      <c r="E28" s="17" t="s">
        <v>417</v>
      </c>
      <c r="F28" s="17" t="s">
        <v>65</v>
      </c>
      <c r="G28" s="18"/>
      <c r="H28" s="18"/>
      <c r="I28" s="18" t="s">
        <v>66</v>
      </c>
    </row>
    <row r="29" customFormat="false" ht="23.25" hidden="false" customHeight="true" outlineLevel="0" collapsed="false">
      <c r="B29" s="17" t="n">
        <v>9</v>
      </c>
      <c r="C29" s="17" t="str">
        <f aca="false">IF(OR(F29="FERIADO",F29="RECESO"),"—",ROWS($F$12:F29)-COUNTIF($F$12:F29,"FERIADO")-COUNTIF($F$12:F29,"RECESO"))</f>
        <v>—</v>
      </c>
      <c r="D29" s="17" t="s">
        <v>435</v>
      </c>
      <c r="E29" s="17" t="s">
        <v>419</v>
      </c>
      <c r="F29" s="17" t="s">
        <v>65</v>
      </c>
      <c r="G29" s="18"/>
      <c r="H29" s="18"/>
      <c r="I29" s="18" t="s">
        <v>66</v>
      </c>
    </row>
    <row r="30" customFormat="false" ht="15" hidden="false" customHeight="true" outlineLevel="0" collapsed="false">
      <c r="B30" s="12" t="n">
        <v>10</v>
      </c>
      <c r="C30" s="12" t="n">
        <f aca="false">IF(OR(F30="FERIADO",F30="RECESO"),"—",ROWS($F$12:F30)-COUNTIF($F$12:F30,"FERIADO")-COUNTIF($F$12:F30,"RECESO"))</f>
        <v>17</v>
      </c>
      <c r="D30" s="12" t="s">
        <v>436</v>
      </c>
      <c r="E30" s="12" t="s">
        <v>417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10</v>
      </c>
      <c r="C31" s="12" t="n">
        <f aca="false">IF(OR(F31="FERIADO",F31="RECESO"),"—",ROWS($F$12:F31)-COUNTIF($F$12:F31,"FERIADO")-COUNTIF($F$12:F31,"RECESO"))</f>
        <v>18</v>
      </c>
      <c r="D31" s="12" t="s">
        <v>437</v>
      </c>
      <c r="E31" s="12" t="s">
        <v>419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11</v>
      </c>
      <c r="C32" s="12" t="n">
        <f aca="false">IF(OR(F32="FERIADO",F32="RECESO"),"—",ROWS($F$12:F32)-COUNTIF($F$12:F32,"FERIADO")-COUNTIF($F$12:F32,"RECESO"))</f>
        <v>19</v>
      </c>
      <c r="D32" s="12" t="s">
        <v>438</v>
      </c>
      <c r="E32" s="12" t="s">
        <v>417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11</v>
      </c>
      <c r="C33" s="12" t="n">
        <f aca="false">IF(OR(F33="FERIADO",F33="RECESO"),"—",ROWS($F$12:F33)-COUNTIF($F$12:F33,"FERIADO")-COUNTIF($F$12:F33,"RECESO"))</f>
        <v>20</v>
      </c>
      <c r="D33" s="12" t="s">
        <v>439</v>
      </c>
      <c r="E33" s="12" t="s">
        <v>419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9" t="n">
        <v>12</v>
      </c>
      <c r="C34" s="19" t="str">
        <f aca="false">IF(OR(F34="FERIADO",F34="RECESO"),"—",ROWS($F$12:F34)-COUNTIF($F$12:F34,"FERIADO")-COUNTIF($F$12:F34,"RECESO"))</f>
        <v>—</v>
      </c>
      <c r="D34" s="19" t="s">
        <v>354</v>
      </c>
      <c r="E34" s="19" t="s">
        <v>417</v>
      </c>
      <c r="F34" s="19" t="s">
        <v>80</v>
      </c>
      <c r="G34" s="20"/>
      <c r="H34" s="20"/>
      <c r="I34" s="20" t="s">
        <v>81</v>
      </c>
    </row>
    <row r="35" customFormat="false" ht="15" hidden="false" customHeight="true" outlineLevel="0" collapsed="false">
      <c r="B35" s="12" t="n">
        <v>12</v>
      </c>
      <c r="C35" s="12" t="n">
        <f aca="false">IF(OR(F35="FERIADO",F35="RECESO"),"—",ROWS($F$12:F35)-COUNTIF($F$12:F35,"FERIADO")-COUNTIF($F$12:F35,"RECESO"))</f>
        <v>21</v>
      </c>
      <c r="D35" s="12" t="s">
        <v>440</v>
      </c>
      <c r="E35" s="12" t="s">
        <v>419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12" t="n">
        <v>13</v>
      </c>
      <c r="C36" s="12" t="n">
        <f aca="false">IF(OR(F36="FERIADO",F36="RECESO"),"—",ROWS($F$12:F36)-COUNTIF($F$12:F36,"FERIADO")-COUNTIF($F$12:F36,"RECESO"))</f>
        <v>22</v>
      </c>
      <c r="D36" s="12" t="s">
        <v>441</v>
      </c>
      <c r="E36" s="12" t="s">
        <v>417</v>
      </c>
      <c r="F36" s="12" t="s">
        <v>21</v>
      </c>
      <c r="G36" s="14"/>
      <c r="H36" s="14"/>
      <c r="I36" s="14"/>
    </row>
    <row r="37" customFormat="false" ht="15" hidden="false" customHeight="true" outlineLevel="0" collapsed="false">
      <c r="B37" s="12" t="n">
        <v>13</v>
      </c>
      <c r="C37" s="12" t="n">
        <f aca="false">IF(OR(F37="FERIADO",F37="RECESO"),"—",ROWS($F$12:F37)-COUNTIF($F$12:F37,"FERIADO")-COUNTIF($F$12:F37,"RECESO"))</f>
        <v>23</v>
      </c>
      <c r="D37" s="12" t="s">
        <v>442</v>
      </c>
      <c r="E37" s="12" t="s">
        <v>419</v>
      </c>
      <c r="F37" s="12" t="s">
        <v>21</v>
      </c>
      <c r="G37" s="14"/>
      <c r="H37" s="14"/>
      <c r="I37" s="14"/>
    </row>
    <row r="38" customFormat="false" ht="15" hidden="false" customHeight="true" outlineLevel="0" collapsed="false">
      <c r="B38" s="12" t="n">
        <v>14</v>
      </c>
      <c r="C38" s="12" t="n">
        <f aca="false">IF(OR(F38="FERIADO",F38="RECESO"),"—",ROWS($F$12:F38)-COUNTIF($F$12:F38,"FERIADO")-COUNTIF($F$12:F38,"RECESO"))</f>
        <v>24</v>
      </c>
      <c r="D38" s="12" t="s">
        <v>443</v>
      </c>
      <c r="E38" s="12" t="s">
        <v>417</v>
      </c>
      <c r="F38" s="12" t="s">
        <v>21</v>
      </c>
      <c r="G38" s="14"/>
      <c r="H38" s="14"/>
      <c r="I38" s="14"/>
    </row>
    <row r="39" customFormat="false" ht="15" hidden="false" customHeight="true" outlineLevel="0" collapsed="false">
      <c r="B39" s="12" t="n">
        <v>14</v>
      </c>
      <c r="C39" s="12" t="n">
        <f aca="false">IF(OR(F39="FERIADO",F39="RECESO"),"—",ROWS($F$12:F39)-COUNTIF($F$12:F39,"FERIADO")-COUNTIF($F$12:F39,"RECESO"))</f>
        <v>25</v>
      </c>
      <c r="D39" s="12" t="s">
        <v>444</v>
      </c>
      <c r="E39" s="12" t="s">
        <v>419</v>
      </c>
      <c r="F39" s="12" t="s">
        <v>21</v>
      </c>
      <c r="G39" s="14"/>
      <c r="H39" s="14"/>
      <c r="I39" s="14"/>
    </row>
    <row r="40" customFormat="false" ht="15" hidden="false" customHeight="true" outlineLevel="0" collapsed="false">
      <c r="B40" s="12" t="n">
        <v>15</v>
      </c>
      <c r="C40" s="12" t="n">
        <f aca="false">IF(OR(F40="FERIADO",F40="RECESO"),"—",ROWS($F$12:F40)-COUNTIF($F$12:F40,"FERIADO")-COUNTIF($F$12:F40,"RECESO"))</f>
        <v>26</v>
      </c>
      <c r="D40" s="12" t="s">
        <v>445</v>
      </c>
      <c r="E40" s="12" t="s">
        <v>417</v>
      </c>
      <c r="F40" s="12" t="s">
        <v>21</v>
      </c>
      <c r="G40" s="14"/>
      <c r="H40" s="14"/>
      <c r="I40" s="14"/>
    </row>
    <row r="41" customFormat="false" ht="15" hidden="false" customHeight="true" outlineLevel="0" collapsed="false">
      <c r="B41" s="12" t="n">
        <v>15</v>
      </c>
      <c r="C41" s="12" t="n">
        <f aca="false">IF(OR(F41="FERIADO",F41="RECESO"),"—",ROWS($F$12:F41)-COUNTIF($F$12:F41,"FERIADO")-COUNTIF($F$12:F41,"RECESO"))</f>
        <v>27</v>
      </c>
      <c r="D41" s="12" t="s">
        <v>446</v>
      </c>
      <c r="E41" s="12" t="s">
        <v>419</v>
      </c>
      <c r="F41" s="12" t="s">
        <v>21</v>
      </c>
      <c r="G41" s="14"/>
      <c r="H41" s="14"/>
      <c r="I41" s="14"/>
    </row>
    <row r="42" customFormat="false" ht="15" hidden="false" customHeight="true" outlineLevel="0" collapsed="false">
      <c r="B42" s="12" t="n">
        <v>16</v>
      </c>
      <c r="C42" s="12" t="n">
        <f aca="false">IF(OR(F42="FERIADO",F42="RECESO"),"—",ROWS($F$12:F42)-COUNTIF($F$12:F42,"FERIADO")-COUNTIF($F$12:F42,"RECESO"))</f>
        <v>28</v>
      </c>
      <c r="D42" s="12" t="s">
        <v>447</v>
      </c>
      <c r="E42" s="12" t="s">
        <v>417</v>
      </c>
      <c r="F42" s="12" t="s">
        <v>21</v>
      </c>
      <c r="G42" s="14"/>
      <c r="H42" s="14"/>
      <c r="I42" s="14"/>
    </row>
    <row r="43" customFormat="false" ht="15" hidden="false" customHeight="true" outlineLevel="0" collapsed="false">
      <c r="B43" s="12" t="n">
        <v>16</v>
      </c>
      <c r="C43" s="12" t="n">
        <f aca="false">IF(OR(F43="FERIADO",F43="RECESO"),"—",ROWS($F$12:F43)-COUNTIF($F$12:F43,"FERIADO")-COUNTIF($F$12:F43,"RECESO"))</f>
        <v>29</v>
      </c>
      <c r="D43" s="12" t="s">
        <v>448</v>
      </c>
      <c r="E43" s="12" t="s">
        <v>419</v>
      </c>
      <c r="F43" s="12" t="s">
        <v>21</v>
      </c>
      <c r="G43" s="14"/>
      <c r="H43" s="14"/>
      <c r="I43" s="14"/>
    </row>
    <row r="44" customFormat="false" ht="15" hidden="false" customHeight="true" outlineLevel="0" collapsed="false">
      <c r="B44" s="21" t="n">
        <v>17</v>
      </c>
      <c r="C44" s="21" t="n">
        <f aca="false">IF(OR(F44="FERIADO",F44="RECESO"),"—",ROWS($F$12:F44)-COUNTIF($F$12:F44,"FERIADO")-COUNTIF($F$12:F44,"RECESO"))</f>
        <v>30</v>
      </c>
      <c r="D44" s="21" t="s">
        <v>449</v>
      </c>
      <c r="E44" s="21" t="s">
        <v>417</v>
      </c>
      <c r="F44" s="21" t="s">
        <v>21</v>
      </c>
      <c r="G44" s="23"/>
      <c r="H44" s="23"/>
      <c r="I44" s="23" t="s">
        <v>108</v>
      </c>
    </row>
    <row r="45" customFormat="false" ht="23.25" hidden="false" customHeight="true" outlineLevel="0" collapsed="false">
      <c r="B45" s="21" t="n">
        <v>17</v>
      </c>
      <c r="C45" s="21" t="n">
        <f aca="false">IF(OR(F45="FERIADO",F45="RECESO"),"—",ROWS($F$12:F45)-COUNTIF($F$12:F45,"FERIADO")-COUNTIF($F$12:F45,"RECESO"))</f>
        <v>31</v>
      </c>
      <c r="D45" s="21" t="s">
        <v>450</v>
      </c>
      <c r="E45" s="21" t="s">
        <v>419</v>
      </c>
      <c r="F45" s="24" t="s">
        <v>21</v>
      </c>
      <c r="G45" s="23"/>
      <c r="H45" s="23"/>
      <c r="I45" s="23" t="s">
        <v>112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451</v>
      </c>
      <c r="K2" s="4" t="s">
        <v>2</v>
      </c>
    </row>
    <row r="3" customFormat="false" ht="15" hidden="false" customHeight="true" outlineLevel="0" collapsed="false">
      <c r="B3" s="5" t="s">
        <v>452</v>
      </c>
      <c r="K3" s="6" t="s">
        <v>4</v>
      </c>
      <c r="L3" s="7" t="n">
        <f aca="false">COUNTIF(F12:F45,"Clase")</f>
        <v>31</v>
      </c>
    </row>
    <row r="4" customFormat="false" ht="15" hidden="false" customHeight="true" outlineLevel="0" collapsed="false">
      <c r="B4" s="8" t="s">
        <v>453</v>
      </c>
      <c r="K4" s="6" t="s">
        <v>6</v>
      </c>
      <c r="L4" s="7" t="n">
        <f aca="false">COUNTIF(F12:F45,"Asincrónico")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COUNTIF(F12:F45,"FERIADO")+COUNTIF(F12:F45,"RECESO")</f>
        <v>3</v>
      </c>
    </row>
    <row r="6" customFormat="false" ht="15" hidden="false" customHeight="true" outlineLevel="0" collapsed="false">
      <c r="K6" s="6" t="s">
        <v>8</v>
      </c>
      <c r="L6" s="7" t="n">
        <f aca="false">MAX(B12:B45)</f>
        <v>17</v>
      </c>
    </row>
    <row r="7" customFormat="false" ht="15" hidden="false" customHeight="true" outlineLevel="0" collapsed="false">
      <c r="K7" s="6" t="s">
        <v>9</v>
      </c>
      <c r="L7" s="9" t="str">
        <f aca="false">"03-may-2027 al 06-may-2027"</f>
        <v>03-may-2027 al 06-may-2027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260</v>
      </c>
      <c r="E12" s="12" t="s">
        <v>20</v>
      </c>
      <c r="F12" s="12" t="s">
        <v>21</v>
      </c>
      <c r="G12" s="14"/>
      <c r="H12" s="14"/>
      <c r="I12" s="14"/>
    </row>
    <row r="13" customFormat="false" ht="1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454</v>
      </c>
      <c r="E13" s="12" t="s">
        <v>25</v>
      </c>
      <c r="F13" s="12" t="s">
        <v>21</v>
      </c>
      <c r="G13" s="14"/>
      <c r="H13" s="14"/>
      <c r="I13" s="14"/>
    </row>
    <row r="14" customFormat="false" ht="15" hidden="false" customHeight="true" outlineLevel="0" collapsed="false">
      <c r="B14" s="12" t="n">
        <v>2</v>
      </c>
      <c r="C14" s="12" t="n">
        <f aca="false">IF(OR(F14="FERIADO",F14="RECESO"),"—",ROWS($F$12:F14)-COUNTIF($F$12:F14,"FERIADO")-COUNTIF($F$12:F14,"RECESO"))</f>
        <v>3</v>
      </c>
      <c r="D14" s="12" t="s">
        <v>455</v>
      </c>
      <c r="E14" s="12" t="s">
        <v>20</v>
      </c>
      <c r="F14" s="12" t="s">
        <v>21</v>
      </c>
      <c r="G14" s="14"/>
      <c r="H14" s="14"/>
      <c r="I14" s="14"/>
    </row>
    <row r="15" customFormat="false" ht="15" hidden="false" customHeight="true" outlineLevel="0" collapsed="false">
      <c r="B15" s="12" t="n">
        <v>2</v>
      </c>
      <c r="C15" s="12" t="n">
        <f aca="false">IF(OR(F15="FERIADO",F15="RECESO"),"—",ROWS($F$12:F15)-COUNTIF($F$12:F15,"FERIADO")-COUNTIF($F$12:F15,"RECESO"))</f>
        <v>4</v>
      </c>
      <c r="D15" s="12" t="s">
        <v>456</v>
      </c>
      <c r="E15" s="12" t="s">
        <v>25</v>
      </c>
      <c r="F15" s="12" t="s">
        <v>21</v>
      </c>
      <c r="G15" s="14"/>
      <c r="H15" s="14"/>
      <c r="I15" s="14"/>
    </row>
    <row r="16" customFormat="false" ht="15" hidden="false" customHeight="true" outlineLevel="0" collapsed="false">
      <c r="B16" s="12" t="n">
        <v>3</v>
      </c>
      <c r="C16" s="12" t="n">
        <f aca="false">IF(OR(F16="FERIADO",F16="RECESO"),"—",ROWS($F$12:F16)-COUNTIF($F$12:F16,"FERIADO")-COUNTIF($F$12:F16,"RECESO"))</f>
        <v>5</v>
      </c>
      <c r="D16" s="12" t="s">
        <v>457</v>
      </c>
      <c r="E16" s="12" t="s">
        <v>20</v>
      </c>
      <c r="F16" s="12" t="s">
        <v>21</v>
      </c>
      <c r="G16" s="14"/>
      <c r="H16" s="14"/>
      <c r="I16" s="14"/>
    </row>
    <row r="17" customFormat="false" ht="15" hidden="false" customHeight="true" outlineLevel="0" collapsed="false">
      <c r="B17" s="12" t="n">
        <v>3</v>
      </c>
      <c r="C17" s="12" t="n">
        <f aca="false">IF(OR(F17="FERIADO",F17="RECESO"),"—",ROWS($F$12:F17)-COUNTIF($F$12:F17,"FERIADO")-COUNTIF($F$12:F17,"RECESO"))</f>
        <v>6</v>
      </c>
      <c r="D17" s="12" t="s">
        <v>458</v>
      </c>
      <c r="E17" s="12" t="s">
        <v>25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4</v>
      </c>
      <c r="C18" s="12" t="n">
        <f aca="false">IF(OR(F18="FERIADO",F18="RECESO"),"—",ROWS($F$12:F18)-COUNTIF($F$12:F18,"FERIADO")-COUNTIF($F$12:F18,"RECESO"))</f>
        <v>7</v>
      </c>
      <c r="D18" s="12" t="s">
        <v>459</v>
      </c>
      <c r="E18" s="12" t="s">
        <v>20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4</v>
      </c>
      <c r="C19" s="12" t="n">
        <f aca="false">IF(OR(F19="FERIADO",F19="RECESO"),"—",ROWS($F$12:F19)-COUNTIF($F$12:F19,"FERIADO")-COUNTIF($F$12:F19,"RECESO"))</f>
        <v>8</v>
      </c>
      <c r="D19" s="12" t="s">
        <v>460</v>
      </c>
      <c r="E19" s="12" t="s">
        <v>25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9" t="n">
        <v>5</v>
      </c>
      <c r="C20" s="19" t="str">
        <f aca="false">IF(OR(F20="FERIADO",F20="RECESO"),"—",ROWS($F$12:F20)-COUNTIF($F$12:F20,"FERIADO")-COUNTIF($F$12:F20,"RECESO"))</f>
        <v>—</v>
      </c>
      <c r="D20" s="19" t="s">
        <v>281</v>
      </c>
      <c r="E20" s="19" t="s">
        <v>20</v>
      </c>
      <c r="F20" s="19" t="s">
        <v>80</v>
      </c>
      <c r="G20" s="20"/>
      <c r="H20" s="20"/>
      <c r="I20" s="20" t="s">
        <v>361</v>
      </c>
    </row>
    <row r="21" customFormat="false" ht="15" hidden="false" customHeight="true" outlineLevel="0" collapsed="false">
      <c r="B21" s="12" t="n">
        <v>5</v>
      </c>
      <c r="C21" s="12" t="n">
        <f aca="false">IF(OR(F21="FERIADO",F21="RECESO"),"—",ROWS($F$12:F21)-COUNTIF($F$12:F21,"FERIADO")-COUNTIF($F$12:F21,"RECESO"))</f>
        <v>9</v>
      </c>
      <c r="D21" s="12" t="s">
        <v>461</v>
      </c>
      <c r="E21" s="12" t="s">
        <v>25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6</v>
      </c>
      <c r="C22" s="12" t="n">
        <f aca="false">IF(OR(F22="FERIADO",F22="RECESO"),"—",ROWS($F$12:F22)-COUNTIF($F$12:F22,"FERIADO")-COUNTIF($F$12:F22,"RECESO"))</f>
        <v>10</v>
      </c>
      <c r="D22" s="12" t="s">
        <v>462</v>
      </c>
      <c r="E22" s="12" t="s">
        <v>20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6</v>
      </c>
      <c r="C23" s="12" t="n">
        <f aca="false">IF(OR(F23="FERIADO",F23="RECESO"),"—",ROWS($F$12:F23)-COUNTIF($F$12:F23,"FERIADO")-COUNTIF($F$12:F23,"RECESO"))</f>
        <v>11</v>
      </c>
      <c r="D23" s="12" t="s">
        <v>463</v>
      </c>
      <c r="E23" s="12" t="s">
        <v>25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7</v>
      </c>
      <c r="C24" s="12" t="n">
        <f aca="false">IF(OR(F24="FERIADO",F24="RECESO"),"—",ROWS($F$12:F24)-COUNTIF($F$12:F24,"FERIADO")-COUNTIF($F$12:F24,"RECESO"))</f>
        <v>12</v>
      </c>
      <c r="D24" s="12" t="s">
        <v>464</v>
      </c>
      <c r="E24" s="12" t="s">
        <v>20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7</v>
      </c>
      <c r="C25" s="12" t="n">
        <f aca="false">IF(OR(F25="FERIADO",F25="RECESO"),"—",ROWS($F$12:F25)-COUNTIF($F$12:F25,"FERIADO")-COUNTIF($F$12:F25,"RECESO"))</f>
        <v>13</v>
      </c>
      <c r="D25" s="12" t="s">
        <v>465</v>
      </c>
      <c r="E25" s="12" t="s">
        <v>25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8</v>
      </c>
      <c r="C26" s="12" t="n">
        <f aca="false">IF(OR(F26="FERIADO",F26="RECESO"),"—",ROWS($F$12:F26)-COUNTIF($F$12:F26,"FERIADO")-COUNTIF($F$12:F26,"RECESO"))</f>
        <v>14</v>
      </c>
      <c r="D26" s="12" t="s">
        <v>466</v>
      </c>
      <c r="E26" s="12" t="s">
        <v>20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8</v>
      </c>
      <c r="C27" s="12" t="n">
        <f aca="false">IF(OR(F27="FERIADO",F27="RECESO"),"—",ROWS($F$12:F27)-COUNTIF($F$12:F27,"FERIADO")-COUNTIF($F$12:F27,"RECESO"))</f>
        <v>15</v>
      </c>
      <c r="D27" s="12" t="s">
        <v>467</v>
      </c>
      <c r="E27" s="12" t="s">
        <v>25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7" t="n">
        <v>9</v>
      </c>
      <c r="C28" s="17" t="str">
        <f aca="false">IF(OR(F28="FERIADO",F28="RECESO"),"—",ROWS($F$12:F28)-COUNTIF($F$12:F28,"FERIADO")-COUNTIF($F$12:F28,"RECESO"))</f>
        <v>—</v>
      </c>
      <c r="D28" s="17" t="s">
        <v>367</v>
      </c>
      <c r="E28" s="17" t="s">
        <v>20</v>
      </c>
      <c r="F28" s="17" t="s">
        <v>65</v>
      </c>
      <c r="G28" s="18"/>
      <c r="H28" s="18"/>
      <c r="I28" s="18" t="s">
        <v>366</v>
      </c>
    </row>
    <row r="29" customFormat="false" ht="15" hidden="false" customHeight="true" outlineLevel="0" collapsed="false">
      <c r="B29" s="17" t="n">
        <v>9</v>
      </c>
      <c r="C29" s="17" t="str">
        <f aca="false">IF(OR(F29="FERIADO",F29="RECESO"),"—",ROWS($F$12:F29)-COUNTIF($F$12:F29,"FERIADO")-COUNTIF($F$12:F29,"RECESO"))</f>
        <v>—</v>
      </c>
      <c r="D29" s="17" t="s">
        <v>468</v>
      </c>
      <c r="E29" s="17" t="s">
        <v>25</v>
      </c>
      <c r="F29" s="17" t="s">
        <v>65</v>
      </c>
      <c r="G29" s="18"/>
      <c r="H29" s="18"/>
      <c r="I29" s="18" t="s">
        <v>366</v>
      </c>
    </row>
    <row r="30" customFormat="false" ht="15" hidden="false" customHeight="true" outlineLevel="0" collapsed="false">
      <c r="B30" s="12" t="n">
        <v>10</v>
      </c>
      <c r="C30" s="12" t="n">
        <f aca="false">IF(OR(F30="FERIADO",F30="RECESO"),"—",ROWS($F$12:F30)-COUNTIF($F$12:F30,"FERIADO")-COUNTIF($F$12:F30,"RECESO"))</f>
        <v>16</v>
      </c>
      <c r="D30" s="12" t="s">
        <v>284</v>
      </c>
      <c r="E30" s="12" t="s">
        <v>20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10</v>
      </c>
      <c r="C31" s="12" t="n">
        <f aca="false">IF(OR(F31="FERIADO",F31="RECESO"),"—",ROWS($F$12:F31)-COUNTIF($F$12:F31,"FERIADO")-COUNTIF($F$12:F31,"RECESO"))</f>
        <v>17</v>
      </c>
      <c r="D31" s="12" t="s">
        <v>469</v>
      </c>
      <c r="E31" s="12" t="s">
        <v>25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11</v>
      </c>
      <c r="C32" s="12" t="n">
        <f aca="false">IF(OR(F32="FERIADO",F32="RECESO"),"—",ROWS($F$12:F32)-COUNTIF($F$12:F32,"FERIADO")-COUNTIF($F$12:F32,"RECESO"))</f>
        <v>18</v>
      </c>
      <c r="D32" s="12" t="s">
        <v>470</v>
      </c>
      <c r="E32" s="12" t="s">
        <v>20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11</v>
      </c>
      <c r="C33" s="12" t="n">
        <f aca="false">IF(OR(F33="FERIADO",F33="RECESO"),"—",ROWS($F$12:F33)-COUNTIF($F$12:F33,"FERIADO")-COUNTIF($F$12:F33,"RECESO"))</f>
        <v>19</v>
      </c>
      <c r="D33" s="12" t="s">
        <v>471</v>
      </c>
      <c r="E33" s="12" t="s">
        <v>25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12</v>
      </c>
      <c r="C34" s="12" t="n">
        <f aca="false">IF(OR(F34="FERIADO",F34="RECESO"),"—",ROWS($F$12:F34)-COUNTIF($F$12:F34,"FERIADO")-COUNTIF($F$12:F34,"RECESO"))</f>
        <v>20</v>
      </c>
      <c r="D34" s="12" t="s">
        <v>472</v>
      </c>
      <c r="E34" s="12" t="s">
        <v>20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2" t="n">
        <v>12</v>
      </c>
      <c r="C35" s="12" t="n">
        <f aca="false">IF(OR(F35="FERIADO",F35="RECESO"),"—",ROWS($F$12:F35)-COUNTIF($F$12:F35,"FERIADO")-COUNTIF($F$12:F35,"RECESO"))</f>
        <v>21</v>
      </c>
      <c r="D35" s="12" t="s">
        <v>473</v>
      </c>
      <c r="E35" s="12" t="s">
        <v>25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12" t="n">
        <v>13</v>
      </c>
      <c r="C36" s="12" t="n">
        <f aca="false">IF(OR(F36="FERIADO",F36="RECESO"),"—",ROWS($F$12:F36)-COUNTIF($F$12:F36,"FERIADO")-COUNTIF($F$12:F36,"RECESO"))</f>
        <v>22</v>
      </c>
      <c r="D36" s="12" t="s">
        <v>474</v>
      </c>
      <c r="E36" s="12" t="s">
        <v>20</v>
      </c>
      <c r="F36" s="12" t="s">
        <v>21</v>
      </c>
      <c r="G36" s="14"/>
      <c r="H36" s="14"/>
      <c r="I36" s="14"/>
    </row>
    <row r="37" customFormat="false" ht="15" hidden="false" customHeight="true" outlineLevel="0" collapsed="false">
      <c r="B37" s="12" t="n">
        <v>13</v>
      </c>
      <c r="C37" s="12" t="n">
        <f aca="false">IF(OR(F37="FERIADO",F37="RECESO"),"—",ROWS($F$12:F37)-COUNTIF($F$12:F37,"FERIADO")-COUNTIF($F$12:F37,"RECESO"))</f>
        <v>23</v>
      </c>
      <c r="D37" s="12" t="s">
        <v>475</v>
      </c>
      <c r="E37" s="12" t="s">
        <v>25</v>
      </c>
      <c r="F37" s="12" t="s">
        <v>21</v>
      </c>
      <c r="G37" s="14"/>
      <c r="H37" s="14"/>
      <c r="I37" s="14"/>
    </row>
    <row r="38" customFormat="false" ht="15" hidden="false" customHeight="true" outlineLevel="0" collapsed="false">
      <c r="B38" s="12" t="n">
        <v>14</v>
      </c>
      <c r="C38" s="12" t="n">
        <f aca="false">IF(OR(F38="FERIADO",F38="RECESO"),"—",ROWS($F$12:F38)-COUNTIF($F$12:F38,"FERIADO")-COUNTIF($F$12:F38,"RECESO"))</f>
        <v>24</v>
      </c>
      <c r="D38" s="12" t="s">
        <v>287</v>
      </c>
      <c r="E38" s="12" t="s">
        <v>20</v>
      </c>
      <c r="F38" s="12" t="s">
        <v>21</v>
      </c>
      <c r="G38" s="14"/>
      <c r="H38" s="14"/>
      <c r="I38" s="14"/>
    </row>
    <row r="39" customFormat="false" ht="15" hidden="false" customHeight="true" outlineLevel="0" collapsed="false">
      <c r="B39" s="12" t="n">
        <v>14</v>
      </c>
      <c r="C39" s="12" t="n">
        <f aca="false">IF(OR(F39="FERIADO",F39="RECESO"),"—",ROWS($F$12:F39)-COUNTIF($F$12:F39,"FERIADO")-COUNTIF($F$12:F39,"RECESO"))</f>
        <v>25</v>
      </c>
      <c r="D39" s="12" t="s">
        <v>476</v>
      </c>
      <c r="E39" s="12" t="s">
        <v>25</v>
      </c>
      <c r="F39" s="12" t="s">
        <v>21</v>
      </c>
      <c r="G39" s="14"/>
      <c r="H39" s="14"/>
      <c r="I39" s="14"/>
    </row>
    <row r="40" customFormat="false" ht="15" hidden="false" customHeight="true" outlineLevel="0" collapsed="false">
      <c r="B40" s="12" t="n">
        <v>15</v>
      </c>
      <c r="C40" s="12" t="n">
        <f aca="false">IF(OR(F40="FERIADO",F40="RECESO"),"—",ROWS($F$12:F40)-COUNTIF($F$12:F40,"FERIADO")-COUNTIF($F$12:F40,"RECESO"))</f>
        <v>26</v>
      </c>
      <c r="D40" s="12" t="s">
        <v>477</v>
      </c>
      <c r="E40" s="12" t="s">
        <v>20</v>
      </c>
      <c r="F40" s="12" t="s">
        <v>21</v>
      </c>
      <c r="G40" s="14"/>
      <c r="H40" s="14"/>
      <c r="I40" s="14"/>
    </row>
    <row r="41" customFormat="false" ht="15" hidden="false" customHeight="true" outlineLevel="0" collapsed="false">
      <c r="B41" s="12" t="n">
        <v>15</v>
      </c>
      <c r="C41" s="12" t="n">
        <f aca="false">IF(OR(F41="FERIADO",F41="RECESO"),"—",ROWS($F$12:F41)-COUNTIF($F$12:F41,"FERIADO")-COUNTIF($F$12:F41,"RECESO"))</f>
        <v>27</v>
      </c>
      <c r="D41" s="12" t="s">
        <v>478</v>
      </c>
      <c r="E41" s="12" t="s">
        <v>25</v>
      </c>
      <c r="F41" s="12" t="s">
        <v>21</v>
      </c>
      <c r="G41" s="14"/>
      <c r="H41" s="14"/>
      <c r="I41" s="14"/>
    </row>
    <row r="42" customFormat="false" ht="15" hidden="false" customHeight="true" outlineLevel="0" collapsed="false">
      <c r="B42" s="12" t="n">
        <v>16</v>
      </c>
      <c r="C42" s="12" t="n">
        <f aca="false">IF(OR(F42="FERIADO",F42="RECESO"),"—",ROWS($F$12:F42)-COUNTIF($F$12:F42,"FERIADO")-COUNTIF($F$12:F42,"RECESO"))</f>
        <v>28</v>
      </c>
      <c r="D42" s="12" t="s">
        <v>479</v>
      </c>
      <c r="E42" s="12" t="s">
        <v>20</v>
      </c>
      <c r="F42" s="12" t="s">
        <v>21</v>
      </c>
      <c r="G42" s="14"/>
      <c r="H42" s="14"/>
      <c r="I42" s="14"/>
    </row>
    <row r="43" customFormat="false" ht="15" hidden="false" customHeight="true" outlineLevel="0" collapsed="false">
      <c r="B43" s="12" t="n">
        <v>16</v>
      </c>
      <c r="C43" s="12" t="n">
        <f aca="false">IF(OR(F43="FERIADO",F43="RECESO"),"—",ROWS($F$12:F43)-COUNTIF($F$12:F43,"FERIADO")-COUNTIF($F$12:F43,"RECESO"))</f>
        <v>29</v>
      </c>
      <c r="D43" s="12" t="s">
        <v>480</v>
      </c>
      <c r="E43" s="12" t="s">
        <v>25</v>
      </c>
      <c r="F43" s="12" t="s">
        <v>21</v>
      </c>
      <c r="G43" s="14"/>
      <c r="H43" s="14"/>
      <c r="I43" s="14"/>
    </row>
    <row r="44" customFormat="false" ht="15" hidden="false" customHeight="true" outlineLevel="0" collapsed="false">
      <c r="B44" s="21" t="n">
        <v>17</v>
      </c>
      <c r="C44" s="21" t="n">
        <f aca="false">IF(OR(F44="FERIADO",F44="RECESO"),"—",ROWS($F$12:F44)-COUNTIF($F$12:F44,"FERIADO")-COUNTIF($F$12:F44,"RECESO"))</f>
        <v>30</v>
      </c>
      <c r="D44" s="21" t="s">
        <v>481</v>
      </c>
      <c r="E44" s="21" t="s">
        <v>20</v>
      </c>
      <c r="F44" s="21" t="s">
        <v>21</v>
      </c>
      <c r="G44" s="23"/>
      <c r="H44" s="23"/>
      <c r="I44" s="23" t="s">
        <v>482</v>
      </c>
    </row>
    <row r="45" customFormat="false" ht="23.25" hidden="false" customHeight="true" outlineLevel="0" collapsed="false">
      <c r="B45" s="21" t="n">
        <v>17</v>
      </c>
      <c r="C45" s="21" t="n">
        <f aca="false">IF(OR(F45="FERIADO",F45="RECESO"),"—",ROWS($F$12:F45)-COUNTIF($F$12:F45,"FERIADO")-COUNTIF($F$12:F45,"RECESO"))</f>
        <v>31</v>
      </c>
      <c r="D45" s="21" t="s">
        <v>483</v>
      </c>
      <c r="E45" s="21" t="s">
        <v>25</v>
      </c>
      <c r="F45" s="24" t="s">
        <v>21</v>
      </c>
      <c r="G45" s="23"/>
      <c r="H45" s="23"/>
      <c r="I45" s="23" t="s">
        <v>484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485</v>
      </c>
      <c r="K2" s="4" t="s">
        <v>2</v>
      </c>
    </row>
    <row r="3" customFormat="false" ht="15" hidden="false" customHeight="true" outlineLevel="0" collapsed="false">
      <c r="B3" s="5" t="s">
        <v>452</v>
      </c>
      <c r="K3" s="6" t="s">
        <v>4</v>
      </c>
      <c r="L3" s="7" t="n">
        <f aca="false">COUNTIF(F12:F45,"Clase")</f>
        <v>30</v>
      </c>
    </row>
    <row r="4" customFormat="false" ht="15" hidden="false" customHeight="true" outlineLevel="0" collapsed="false">
      <c r="B4" s="8" t="s">
        <v>453</v>
      </c>
      <c r="K4" s="6" t="s">
        <v>6</v>
      </c>
      <c r="L4" s="7" t="n">
        <f aca="false">COUNTIF(F12:F45,"Asincrónico")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COUNTIF(F12:F45,"FERIADO")+COUNTIF(F12:F45,"RECESO")</f>
        <v>4</v>
      </c>
    </row>
    <row r="6" customFormat="false" ht="15" hidden="false" customHeight="true" outlineLevel="0" collapsed="false">
      <c r="K6" s="6" t="s">
        <v>8</v>
      </c>
      <c r="L6" s="7" t="n">
        <f aca="false">MAX(B12:B45)</f>
        <v>17</v>
      </c>
    </row>
    <row r="7" customFormat="false" ht="15" hidden="false" customHeight="true" outlineLevel="0" collapsed="false">
      <c r="K7" s="6" t="s">
        <v>9</v>
      </c>
      <c r="L7" s="9" t="str">
        <f aca="false">"03-may-2027 al 06-may-2027"</f>
        <v>03-may-2027 al 06-may-2027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486</v>
      </c>
      <c r="E12" s="12" t="s">
        <v>417</v>
      </c>
      <c r="F12" s="12" t="s">
        <v>21</v>
      </c>
      <c r="G12" s="14"/>
      <c r="H12" s="14"/>
      <c r="I12" s="14"/>
    </row>
    <row r="13" customFormat="false" ht="1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487</v>
      </c>
      <c r="E13" s="12" t="s">
        <v>419</v>
      </c>
      <c r="F13" s="12" t="s">
        <v>21</v>
      </c>
      <c r="G13" s="14"/>
      <c r="H13" s="14"/>
      <c r="I13" s="14"/>
    </row>
    <row r="14" customFormat="false" ht="15" hidden="false" customHeight="true" outlineLevel="0" collapsed="false">
      <c r="B14" s="12" t="n">
        <v>2</v>
      </c>
      <c r="C14" s="12" t="n">
        <f aca="false">IF(OR(F14="FERIADO",F14="RECESO"),"—",ROWS($F$12:F14)-COUNTIF($F$12:F14,"FERIADO")-COUNTIF($F$12:F14,"RECESO"))</f>
        <v>3</v>
      </c>
      <c r="D14" s="12" t="s">
        <v>488</v>
      </c>
      <c r="E14" s="12" t="s">
        <v>417</v>
      </c>
      <c r="F14" s="12" t="s">
        <v>21</v>
      </c>
      <c r="G14" s="14"/>
      <c r="H14" s="14"/>
      <c r="I14" s="14"/>
    </row>
    <row r="15" customFormat="false" ht="15" hidden="false" customHeight="true" outlineLevel="0" collapsed="false">
      <c r="B15" s="12" t="n">
        <v>2</v>
      </c>
      <c r="C15" s="12" t="n">
        <f aca="false">IF(OR(F15="FERIADO",F15="RECESO"),"—",ROWS($F$12:F15)-COUNTIF($F$12:F15,"FERIADO")-COUNTIF($F$12:F15,"RECESO"))</f>
        <v>4</v>
      </c>
      <c r="D15" s="12" t="s">
        <v>489</v>
      </c>
      <c r="E15" s="12" t="s">
        <v>419</v>
      </c>
      <c r="F15" s="12" t="s">
        <v>21</v>
      </c>
      <c r="G15" s="14"/>
      <c r="H15" s="14"/>
      <c r="I15" s="14"/>
    </row>
    <row r="16" customFormat="false" ht="15" hidden="false" customHeight="true" outlineLevel="0" collapsed="false">
      <c r="B16" s="12" t="n">
        <v>3</v>
      </c>
      <c r="C16" s="12" t="n">
        <f aca="false">IF(OR(F16="FERIADO",F16="RECESO"),"—",ROWS($F$12:F16)-COUNTIF($F$12:F16,"FERIADO")-COUNTIF($F$12:F16,"RECESO"))</f>
        <v>5</v>
      </c>
      <c r="D16" s="12" t="s">
        <v>490</v>
      </c>
      <c r="E16" s="12" t="s">
        <v>417</v>
      </c>
      <c r="F16" s="12" t="s">
        <v>21</v>
      </c>
      <c r="G16" s="14"/>
      <c r="H16" s="14"/>
      <c r="I16" s="14"/>
    </row>
    <row r="17" customFormat="false" ht="15" hidden="false" customHeight="true" outlineLevel="0" collapsed="false">
      <c r="B17" s="12" t="n">
        <v>3</v>
      </c>
      <c r="C17" s="12" t="n">
        <f aca="false">IF(OR(F17="FERIADO",F17="RECESO"),"—",ROWS($F$12:F17)-COUNTIF($F$12:F17,"FERIADO")-COUNTIF($F$12:F17,"RECESO"))</f>
        <v>6</v>
      </c>
      <c r="D17" s="12" t="s">
        <v>491</v>
      </c>
      <c r="E17" s="12" t="s">
        <v>419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4</v>
      </c>
      <c r="C18" s="12" t="n">
        <f aca="false">IF(OR(F18="FERIADO",F18="RECESO"),"—",ROWS($F$12:F18)-COUNTIF($F$12:F18,"FERIADO")-COUNTIF($F$12:F18,"RECESO"))</f>
        <v>7</v>
      </c>
      <c r="D18" s="12" t="s">
        <v>492</v>
      </c>
      <c r="E18" s="12" t="s">
        <v>417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4</v>
      </c>
      <c r="C19" s="12" t="n">
        <f aca="false">IF(OR(F19="FERIADO",F19="RECESO"),"—",ROWS($F$12:F19)-COUNTIF($F$12:F19,"FERIADO")-COUNTIF($F$12:F19,"RECESO"))</f>
        <v>8</v>
      </c>
      <c r="D19" s="12" t="s">
        <v>493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9" t="n">
        <v>5</v>
      </c>
      <c r="C20" s="19" t="str">
        <f aca="false">IF(OR(F20="FERIADO",F20="RECESO"),"—",ROWS($F$12:F20)-COUNTIF($F$12:F20,"FERIADO")-COUNTIF($F$12:F20,"RECESO"))</f>
        <v>—</v>
      </c>
      <c r="D20" s="19" t="s">
        <v>363</v>
      </c>
      <c r="E20" s="19" t="s">
        <v>417</v>
      </c>
      <c r="F20" s="19" t="s">
        <v>80</v>
      </c>
      <c r="G20" s="20"/>
      <c r="H20" s="20"/>
      <c r="I20" s="20" t="s">
        <v>361</v>
      </c>
    </row>
    <row r="21" customFormat="false" ht="15" hidden="false" customHeight="true" outlineLevel="0" collapsed="false">
      <c r="B21" s="12" t="n">
        <v>5</v>
      </c>
      <c r="C21" s="12" t="n">
        <f aca="false">IF(OR(F21="FERIADO",F21="RECESO"),"—",ROWS($F$12:F21)-COUNTIF($F$12:F21,"FERIADO")-COUNTIF($F$12:F21,"RECESO"))</f>
        <v>9</v>
      </c>
      <c r="D21" s="12" t="s">
        <v>494</v>
      </c>
      <c r="E21" s="12" t="s">
        <v>419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6</v>
      </c>
      <c r="C22" s="12" t="n">
        <f aca="false">IF(OR(F22="FERIADO",F22="RECESO"),"—",ROWS($F$12:F22)-COUNTIF($F$12:F22,"FERIADO")-COUNTIF($F$12:F22,"RECESO"))</f>
        <v>10</v>
      </c>
      <c r="D22" s="12" t="s">
        <v>495</v>
      </c>
      <c r="E22" s="12" t="s">
        <v>417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9" t="n">
        <v>6</v>
      </c>
      <c r="C23" s="19" t="str">
        <f aca="false">IF(OR(F23="FERIADO",F23="RECESO"),"—",ROWS($F$12:F23)-COUNTIF($F$12:F23,"FERIADO")-COUNTIF($F$12:F23,"RECESO"))</f>
        <v>—</v>
      </c>
      <c r="D23" s="19" t="s">
        <v>365</v>
      </c>
      <c r="E23" s="19" t="s">
        <v>419</v>
      </c>
      <c r="F23" s="19" t="s">
        <v>80</v>
      </c>
      <c r="G23" s="20"/>
      <c r="H23" s="20"/>
      <c r="I23" s="20" t="s">
        <v>364</v>
      </c>
    </row>
    <row r="24" customFormat="false" ht="15" hidden="false" customHeight="true" outlineLevel="0" collapsed="false">
      <c r="B24" s="12" t="n">
        <v>7</v>
      </c>
      <c r="C24" s="12" t="n">
        <f aca="false">IF(OR(F24="FERIADO",F24="RECESO"),"—",ROWS($F$12:F24)-COUNTIF($F$12:F24,"FERIADO")-COUNTIF($F$12:F24,"RECESO"))</f>
        <v>11</v>
      </c>
      <c r="D24" s="12" t="s">
        <v>496</v>
      </c>
      <c r="E24" s="12" t="s">
        <v>417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7</v>
      </c>
      <c r="C25" s="12" t="n">
        <f aca="false">IF(OR(F25="FERIADO",F25="RECESO"),"—",ROWS($F$12:F25)-COUNTIF($F$12:F25,"FERIADO")-COUNTIF($F$12:F25,"RECESO"))</f>
        <v>12</v>
      </c>
      <c r="D25" s="12" t="s">
        <v>497</v>
      </c>
      <c r="E25" s="12" t="s">
        <v>419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8</v>
      </c>
      <c r="C26" s="12" t="n">
        <f aca="false">IF(OR(F26="FERIADO",F26="RECESO"),"—",ROWS($F$12:F26)-COUNTIF($F$12:F26,"FERIADO")-COUNTIF($F$12:F26,"RECESO"))</f>
        <v>13</v>
      </c>
      <c r="D26" s="12" t="s">
        <v>498</v>
      </c>
      <c r="E26" s="12" t="s">
        <v>417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8</v>
      </c>
      <c r="C27" s="12" t="n">
        <f aca="false">IF(OR(F27="FERIADO",F27="RECESO"),"—",ROWS($F$12:F27)-COUNTIF($F$12:F27,"FERIADO")-COUNTIF($F$12:F27,"RECESO"))</f>
        <v>14</v>
      </c>
      <c r="D27" s="12" t="s">
        <v>499</v>
      </c>
      <c r="E27" s="12" t="s">
        <v>419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7" t="n">
        <v>9</v>
      </c>
      <c r="C28" s="17" t="str">
        <f aca="false">IF(OR(F28="FERIADO",F28="RECESO"),"—",ROWS($F$12:F28)-COUNTIF($F$12:F28,"FERIADO")-COUNTIF($F$12:F28,"RECESO"))</f>
        <v>—</v>
      </c>
      <c r="D28" s="17" t="s">
        <v>500</v>
      </c>
      <c r="E28" s="17" t="s">
        <v>417</v>
      </c>
      <c r="F28" s="17" t="s">
        <v>65</v>
      </c>
      <c r="G28" s="18"/>
      <c r="H28" s="18"/>
      <c r="I28" s="18" t="s">
        <v>366</v>
      </c>
    </row>
    <row r="29" customFormat="false" ht="15" hidden="false" customHeight="true" outlineLevel="0" collapsed="false">
      <c r="B29" s="17" t="n">
        <v>9</v>
      </c>
      <c r="C29" s="17" t="str">
        <f aca="false">IF(OR(F29="FERIADO",F29="RECESO"),"—",ROWS($F$12:F29)-COUNTIF($F$12:F29,"FERIADO")-COUNTIF($F$12:F29,"RECESO"))</f>
        <v>—</v>
      </c>
      <c r="D29" s="17" t="s">
        <v>501</v>
      </c>
      <c r="E29" s="17" t="s">
        <v>419</v>
      </c>
      <c r="F29" s="17" t="s">
        <v>65</v>
      </c>
      <c r="G29" s="18"/>
      <c r="H29" s="18"/>
      <c r="I29" s="18" t="s">
        <v>366</v>
      </c>
    </row>
    <row r="30" customFormat="false" ht="15" hidden="false" customHeight="true" outlineLevel="0" collapsed="false">
      <c r="B30" s="12" t="n">
        <v>10</v>
      </c>
      <c r="C30" s="12" t="n">
        <f aca="false">IF(OR(F30="FERIADO",F30="RECESO"),"—",ROWS($F$12:F30)-COUNTIF($F$12:F30,"FERIADO")-COUNTIF($F$12:F30,"RECESO"))</f>
        <v>15</v>
      </c>
      <c r="D30" s="12" t="s">
        <v>502</v>
      </c>
      <c r="E30" s="12" t="s">
        <v>417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10</v>
      </c>
      <c r="C31" s="12" t="n">
        <f aca="false">IF(OR(F31="FERIADO",F31="RECESO"),"—",ROWS($F$12:F31)-COUNTIF($F$12:F31,"FERIADO")-COUNTIF($F$12:F31,"RECESO"))</f>
        <v>16</v>
      </c>
      <c r="D31" s="12" t="s">
        <v>503</v>
      </c>
      <c r="E31" s="12" t="s">
        <v>419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11</v>
      </c>
      <c r="C32" s="12" t="n">
        <f aca="false">IF(OR(F32="FERIADO",F32="RECESO"),"—",ROWS($F$12:F32)-COUNTIF($F$12:F32,"FERIADO")-COUNTIF($F$12:F32,"RECESO"))</f>
        <v>17</v>
      </c>
      <c r="D32" s="12" t="s">
        <v>504</v>
      </c>
      <c r="E32" s="12" t="s">
        <v>417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11</v>
      </c>
      <c r="C33" s="12" t="n">
        <f aca="false">IF(OR(F33="FERIADO",F33="RECESO"),"—",ROWS($F$12:F33)-COUNTIF($F$12:F33,"FERIADO")-COUNTIF($F$12:F33,"RECESO"))</f>
        <v>18</v>
      </c>
      <c r="D33" s="12" t="s">
        <v>505</v>
      </c>
      <c r="E33" s="12" t="s">
        <v>419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12</v>
      </c>
      <c r="C34" s="12" t="n">
        <f aca="false">IF(OR(F34="FERIADO",F34="RECESO"),"—",ROWS($F$12:F34)-COUNTIF($F$12:F34,"FERIADO")-COUNTIF($F$12:F34,"RECESO"))</f>
        <v>19</v>
      </c>
      <c r="D34" s="12" t="s">
        <v>506</v>
      </c>
      <c r="E34" s="12" t="s">
        <v>417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2" t="n">
        <v>12</v>
      </c>
      <c r="C35" s="12" t="n">
        <f aca="false">IF(OR(F35="FERIADO",F35="RECESO"),"—",ROWS($F$12:F35)-COUNTIF($F$12:F35,"FERIADO")-COUNTIF($F$12:F35,"RECESO"))</f>
        <v>20</v>
      </c>
      <c r="D35" s="12" t="s">
        <v>507</v>
      </c>
      <c r="E35" s="12" t="s">
        <v>419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12" t="n">
        <v>13</v>
      </c>
      <c r="C36" s="12" t="n">
        <f aca="false">IF(OR(F36="FERIADO",F36="RECESO"),"—",ROWS($F$12:F36)-COUNTIF($F$12:F36,"FERIADO")-COUNTIF($F$12:F36,"RECESO"))</f>
        <v>21</v>
      </c>
      <c r="D36" s="12" t="s">
        <v>508</v>
      </c>
      <c r="E36" s="12" t="s">
        <v>417</v>
      </c>
      <c r="F36" s="12" t="s">
        <v>21</v>
      </c>
      <c r="G36" s="14"/>
      <c r="H36" s="14"/>
      <c r="I36" s="14"/>
    </row>
    <row r="37" customFormat="false" ht="15" hidden="false" customHeight="true" outlineLevel="0" collapsed="false">
      <c r="B37" s="12" t="n">
        <v>13</v>
      </c>
      <c r="C37" s="12" t="n">
        <f aca="false">IF(OR(F37="FERIADO",F37="RECESO"),"—",ROWS($F$12:F37)-COUNTIF($F$12:F37,"FERIADO")-COUNTIF($F$12:F37,"RECESO"))</f>
        <v>22</v>
      </c>
      <c r="D37" s="12" t="s">
        <v>509</v>
      </c>
      <c r="E37" s="12" t="s">
        <v>419</v>
      </c>
      <c r="F37" s="12" t="s">
        <v>21</v>
      </c>
      <c r="G37" s="14"/>
      <c r="H37" s="14"/>
      <c r="I37" s="14"/>
    </row>
    <row r="38" customFormat="false" ht="15" hidden="false" customHeight="true" outlineLevel="0" collapsed="false">
      <c r="B38" s="12" t="n">
        <v>14</v>
      </c>
      <c r="C38" s="12" t="n">
        <f aca="false">IF(OR(F38="FERIADO",F38="RECESO"),"—",ROWS($F$12:F38)-COUNTIF($F$12:F38,"FERIADO")-COUNTIF($F$12:F38,"RECESO"))</f>
        <v>23</v>
      </c>
      <c r="D38" s="12" t="s">
        <v>510</v>
      </c>
      <c r="E38" s="12" t="s">
        <v>417</v>
      </c>
      <c r="F38" s="12" t="s">
        <v>21</v>
      </c>
      <c r="G38" s="14"/>
      <c r="H38" s="14"/>
      <c r="I38" s="14"/>
    </row>
    <row r="39" customFormat="false" ht="15" hidden="false" customHeight="true" outlineLevel="0" collapsed="false">
      <c r="B39" s="12" t="n">
        <v>14</v>
      </c>
      <c r="C39" s="12" t="n">
        <f aca="false">IF(OR(F39="FERIADO",F39="RECESO"),"—",ROWS($F$12:F39)-COUNTIF($F$12:F39,"FERIADO")-COUNTIF($F$12:F39,"RECESO"))</f>
        <v>24</v>
      </c>
      <c r="D39" s="12" t="s">
        <v>511</v>
      </c>
      <c r="E39" s="12" t="s">
        <v>419</v>
      </c>
      <c r="F39" s="12" t="s">
        <v>21</v>
      </c>
      <c r="G39" s="14"/>
      <c r="H39" s="14"/>
      <c r="I39" s="14"/>
    </row>
    <row r="40" customFormat="false" ht="15" hidden="false" customHeight="true" outlineLevel="0" collapsed="false">
      <c r="B40" s="12" t="n">
        <v>15</v>
      </c>
      <c r="C40" s="12" t="n">
        <f aca="false">IF(OR(F40="FERIADO",F40="RECESO"),"—",ROWS($F$12:F40)-COUNTIF($F$12:F40,"FERIADO")-COUNTIF($F$12:F40,"RECESO"))</f>
        <v>25</v>
      </c>
      <c r="D40" s="12" t="s">
        <v>512</v>
      </c>
      <c r="E40" s="12" t="s">
        <v>417</v>
      </c>
      <c r="F40" s="12" t="s">
        <v>21</v>
      </c>
      <c r="G40" s="14"/>
      <c r="H40" s="14"/>
      <c r="I40" s="14"/>
    </row>
    <row r="41" customFormat="false" ht="15" hidden="false" customHeight="true" outlineLevel="0" collapsed="false">
      <c r="B41" s="12" t="n">
        <v>15</v>
      </c>
      <c r="C41" s="12" t="n">
        <f aca="false">IF(OR(F41="FERIADO",F41="RECESO"),"—",ROWS($F$12:F41)-COUNTIF($F$12:F41,"FERIADO")-COUNTIF($F$12:F41,"RECESO"))</f>
        <v>26</v>
      </c>
      <c r="D41" s="12" t="s">
        <v>513</v>
      </c>
      <c r="E41" s="12" t="s">
        <v>419</v>
      </c>
      <c r="F41" s="12" t="s">
        <v>21</v>
      </c>
      <c r="G41" s="14"/>
      <c r="H41" s="14"/>
      <c r="I41" s="14"/>
    </row>
    <row r="42" customFormat="false" ht="15" hidden="false" customHeight="true" outlineLevel="0" collapsed="false">
      <c r="B42" s="12" t="n">
        <v>16</v>
      </c>
      <c r="C42" s="12" t="n">
        <f aca="false">IF(OR(F42="FERIADO",F42="RECESO"),"—",ROWS($F$12:F42)-COUNTIF($F$12:F42,"FERIADO")-COUNTIF($F$12:F42,"RECESO"))</f>
        <v>27</v>
      </c>
      <c r="D42" s="12" t="s">
        <v>514</v>
      </c>
      <c r="E42" s="12" t="s">
        <v>417</v>
      </c>
      <c r="F42" s="12" t="s">
        <v>21</v>
      </c>
      <c r="G42" s="14"/>
      <c r="H42" s="14"/>
      <c r="I42" s="14"/>
    </row>
    <row r="43" customFormat="false" ht="15" hidden="false" customHeight="true" outlineLevel="0" collapsed="false">
      <c r="B43" s="12" t="n">
        <v>16</v>
      </c>
      <c r="C43" s="12" t="n">
        <f aca="false">IF(OR(F43="FERIADO",F43="RECESO"),"—",ROWS($F$12:F43)-COUNTIF($F$12:F43,"FERIADO")-COUNTIF($F$12:F43,"RECESO"))</f>
        <v>28</v>
      </c>
      <c r="D43" s="12" t="s">
        <v>515</v>
      </c>
      <c r="E43" s="12" t="s">
        <v>419</v>
      </c>
      <c r="F43" s="12" t="s">
        <v>21</v>
      </c>
      <c r="G43" s="14"/>
      <c r="H43" s="14"/>
      <c r="I43" s="14"/>
    </row>
    <row r="44" customFormat="false" ht="15" hidden="false" customHeight="true" outlineLevel="0" collapsed="false">
      <c r="B44" s="21" t="n">
        <v>17</v>
      </c>
      <c r="C44" s="21" t="n">
        <f aca="false">IF(OR(F44="FERIADO",F44="RECESO"),"—",ROWS($F$12:F44)-COUNTIF($F$12:F44,"FERIADO")-COUNTIF($F$12:F44,"RECESO"))</f>
        <v>29</v>
      </c>
      <c r="D44" s="21" t="s">
        <v>516</v>
      </c>
      <c r="E44" s="21" t="s">
        <v>417</v>
      </c>
      <c r="F44" s="21" t="s">
        <v>21</v>
      </c>
      <c r="G44" s="23"/>
      <c r="H44" s="23"/>
      <c r="I44" s="23" t="s">
        <v>482</v>
      </c>
    </row>
    <row r="45" customFormat="false" ht="23.25" hidden="false" customHeight="true" outlineLevel="0" collapsed="false">
      <c r="B45" s="21" t="n">
        <v>17</v>
      </c>
      <c r="C45" s="21" t="n">
        <f aca="false">IF(OR(F45="FERIADO",F45="RECESO"),"—",ROWS($F$12:F45)-COUNTIF($F$12:F45,"FERIADO")-COUNTIF($F$12:F45,"RECESO"))</f>
        <v>30</v>
      </c>
      <c r="D45" s="21" t="s">
        <v>517</v>
      </c>
      <c r="E45" s="21" t="s">
        <v>419</v>
      </c>
      <c r="F45" s="24" t="s">
        <v>21</v>
      </c>
      <c r="G45" s="23"/>
      <c r="H45" s="23"/>
      <c r="I45" s="23" t="s">
        <v>484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391</v>
      </c>
      <c r="K2" s="4" t="s">
        <v>2</v>
      </c>
    </row>
    <row r="3" customFormat="false" ht="15" hidden="false" customHeight="true" outlineLevel="0" collapsed="false">
      <c r="B3" s="5" t="s">
        <v>518</v>
      </c>
      <c r="K3" s="6" t="s">
        <v>4</v>
      </c>
      <c r="L3" s="7" t="n">
        <f aca="false">COUNTIF(F12:F27,"Clase")</f>
        <v>16</v>
      </c>
    </row>
    <row r="4" customFormat="false" ht="15" hidden="false" customHeight="true" outlineLevel="0" collapsed="false">
      <c r="B4" s="8" t="s">
        <v>519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"07-sep-2026 al 10-sep-2026"</f>
        <v>07-sep-2026 al 10-sep-2026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19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416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418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24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523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418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524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28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48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420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30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421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33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422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35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423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13</v>
      </c>
      <c r="D24" s="21" t="s">
        <v>38</v>
      </c>
      <c r="E24" s="21" t="s">
        <v>20</v>
      </c>
      <c r="F24" s="21" t="s">
        <v>21</v>
      </c>
      <c r="G24" s="23"/>
      <c r="H24" s="23"/>
      <c r="I24" s="23" t="s">
        <v>526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14</v>
      </c>
      <c r="D25" s="21" t="s">
        <v>424</v>
      </c>
      <c r="E25" s="21" t="s">
        <v>417</v>
      </c>
      <c r="F25" s="21" t="s">
        <v>21</v>
      </c>
      <c r="G25" s="23"/>
      <c r="H25" s="23"/>
      <c r="I25" s="23" t="s">
        <v>526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15</v>
      </c>
      <c r="D26" s="21" t="s">
        <v>40</v>
      </c>
      <c r="E26" s="21" t="s">
        <v>25</v>
      </c>
      <c r="F26" s="21" t="s">
        <v>21</v>
      </c>
      <c r="G26" s="23"/>
      <c r="H26" s="23"/>
      <c r="I26" s="23" t="s">
        <v>526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16</v>
      </c>
      <c r="D27" s="21" t="s">
        <v>425</v>
      </c>
      <c r="E27" s="21" t="s">
        <v>419</v>
      </c>
      <c r="F27" s="24" t="s">
        <v>21</v>
      </c>
      <c r="G27" s="23"/>
      <c r="H27" s="23"/>
      <c r="I27" s="23" t="s">
        <v>527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394</v>
      </c>
      <c r="K2" s="4" t="s">
        <v>2</v>
      </c>
    </row>
    <row r="3" customFormat="false" ht="15" hidden="false" customHeight="true" outlineLevel="0" collapsed="false">
      <c r="B3" s="5" t="s">
        <v>528</v>
      </c>
      <c r="K3" s="6" t="s">
        <v>4</v>
      </c>
      <c r="L3" s="7" t="n">
        <f aca="false">COUNTIF(F12:F27,"Clase")</f>
        <v>16</v>
      </c>
    </row>
    <row r="4" customFormat="false" ht="15" hidden="false" customHeight="true" outlineLevel="0" collapsed="false">
      <c r="B4" s="8" t="s">
        <v>529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"05-oct-2026 al 07-oct-2026"</f>
        <v>05-oct-2026 al 07-oct-2026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43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426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427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45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530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427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531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48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68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428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51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429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54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430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56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431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13</v>
      </c>
      <c r="D24" s="21" t="s">
        <v>59</v>
      </c>
      <c r="E24" s="21" t="s">
        <v>20</v>
      </c>
      <c r="F24" s="21" t="s">
        <v>21</v>
      </c>
      <c r="G24" s="23"/>
      <c r="H24" s="23"/>
      <c r="I24" s="23" t="s">
        <v>532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14</v>
      </c>
      <c r="D25" s="21" t="s">
        <v>432</v>
      </c>
      <c r="E25" s="21" t="s">
        <v>417</v>
      </c>
      <c r="F25" s="21" t="s">
        <v>21</v>
      </c>
      <c r="G25" s="23"/>
      <c r="H25" s="23"/>
      <c r="I25" s="23" t="s">
        <v>532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15</v>
      </c>
      <c r="D26" s="21" t="s">
        <v>61</v>
      </c>
      <c r="E26" s="21" t="s">
        <v>25</v>
      </c>
      <c r="F26" s="21" t="s">
        <v>21</v>
      </c>
      <c r="G26" s="23"/>
      <c r="H26" s="23"/>
      <c r="I26" s="23" t="s">
        <v>532</v>
      </c>
    </row>
    <row r="27" customFormat="false" ht="15" hidden="false" customHeight="true" outlineLevel="0" collapsed="false">
      <c r="B27" s="48" t="n">
        <v>4</v>
      </c>
      <c r="C27" s="48" t="n">
        <f aca="false">IF(OR(F27="FERIADO",F27="RECESO"),"—",ROWS($F$12:F27)-COUNTIF($F$12:F27,"FERIADO")-COUNTIF($F$12:F27,"RECESO"))</f>
        <v>16</v>
      </c>
      <c r="D27" s="48" t="s">
        <v>433</v>
      </c>
      <c r="E27" s="48" t="s">
        <v>419</v>
      </c>
      <c r="F27" s="49" t="s">
        <v>21</v>
      </c>
      <c r="G27" s="50"/>
      <c r="H27" s="50"/>
      <c r="I27" s="50" t="s">
        <v>533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395</v>
      </c>
      <c r="K2" s="4" t="s">
        <v>2</v>
      </c>
    </row>
    <row r="3" customFormat="false" ht="15" hidden="false" customHeight="true" outlineLevel="0" collapsed="false">
      <c r="B3" s="5" t="s">
        <v>534</v>
      </c>
      <c r="K3" s="6" t="s">
        <v>4</v>
      </c>
      <c r="L3" s="7" t="n">
        <f aca="false">COUNTIF(F12:F27,"Clase")</f>
        <v>14</v>
      </c>
    </row>
    <row r="4" customFormat="false" ht="15" hidden="false" customHeight="true" outlineLevel="0" collapsed="false">
      <c r="B4" s="8" t="s">
        <v>535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2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"09-nov-2026 al 12-nov-2026"</f>
        <v>09-nov-2026 al 12-nov-2026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68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436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437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71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536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437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537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74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95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438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76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439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9" t="n">
        <v>3</v>
      </c>
      <c r="C20" s="19" t="str">
        <f aca="false">IF(OR(F20="FERIADO",F20="RECESO"),"—",ROWS($F$12:F20)-COUNTIF($F$12:F20,"FERIADO")-COUNTIF($F$12:F20,"RECESO"))</f>
        <v>—</v>
      </c>
      <c r="D20" s="19" t="s">
        <v>79</v>
      </c>
      <c r="E20" s="19" t="s">
        <v>20</v>
      </c>
      <c r="F20" s="19" t="s">
        <v>80</v>
      </c>
      <c r="G20" s="20"/>
      <c r="H20" s="20"/>
      <c r="I20" s="20" t="s">
        <v>81</v>
      </c>
    </row>
    <row r="21" customFormat="false" ht="15" hidden="false" customHeight="true" outlineLevel="0" collapsed="false">
      <c r="B21" s="19" t="n">
        <v>3</v>
      </c>
      <c r="C21" s="19" t="str">
        <f aca="false">IF(OR(F21="FERIADO",F21="RECESO"),"—",ROWS($F$12:F21)-COUNTIF($F$12:F21,"FERIADO")-COUNTIF($F$12:F21,"RECESO"))</f>
        <v>—</v>
      </c>
      <c r="D21" s="19" t="s">
        <v>354</v>
      </c>
      <c r="E21" s="19" t="s">
        <v>417</v>
      </c>
      <c r="F21" s="19" t="s">
        <v>80</v>
      </c>
      <c r="G21" s="20"/>
      <c r="H21" s="20"/>
      <c r="I21" s="20" t="s">
        <v>81</v>
      </c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9</v>
      </c>
      <c r="D22" s="12" t="s">
        <v>82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10</v>
      </c>
      <c r="D23" s="12" t="s">
        <v>440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11</v>
      </c>
      <c r="D24" s="21" t="s">
        <v>85</v>
      </c>
      <c r="E24" s="21" t="s">
        <v>20</v>
      </c>
      <c r="F24" s="21" t="s">
        <v>21</v>
      </c>
      <c r="G24" s="23"/>
      <c r="H24" s="23"/>
      <c r="I24" s="23" t="s">
        <v>538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12</v>
      </c>
      <c r="D25" s="21" t="s">
        <v>441</v>
      </c>
      <c r="E25" s="21" t="s">
        <v>417</v>
      </c>
      <c r="F25" s="21" t="s">
        <v>21</v>
      </c>
      <c r="G25" s="23"/>
      <c r="H25" s="23"/>
      <c r="I25" s="23" t="s">
        <v>538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13</v>
      </c>
      <c r="D26" s="21" t="s">
        <v>87</v>
      </c>
      <c r="E26" s="21" t="s">
        <v>25</v>
      </c>
      <c r="F26" s="21" t="s">
        <v>21</v>
      </c>
      <c r="G26" s="23"/>
      <c r="H26" s="23"/>
      <c r="I26" s="23" t="s">
        <v>538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14</v>
      </c>
      <c r="D27" s="21" t="s">
        <v>442</v>
      </c>
      <c r="E27" s="21" t="s">
        <v>419</v>
      </c>
      <c r="F27" s="24" t="s">
        <v>21</v>
      </c>
      <c r="G27" s="23"/>
      <c r="H27" s="23"/>
      <c r="I27" s="23" t="s">
        <v>539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396</v>
      </c>
      <c r="K2" s="4" t="s">
        <v>2</v>
      </c>
    </row>
    <row r="3" customFormat="false" ht="15" hidden="false" customHeight="true" outlineLevel="0" collapsed="false">
      <c r="B3" s="5" t="s">
        <v>540</v>
      </c>
      <c r="K3" s="6" t="s">
        <v>4</v>
      </c>
      <c r="L3" s="7" t="n">
        <f aca="false">COUNTIF(F12:F27,"Clase")</f>
        <v>16</v>
      </c>
    </row>
    <row r="4" customFormat="false" ht="15" hidden="false" customHeight="true" outlineLevel="0" collapsed="false">
      <c r="B4" s="8" t="s">
        <v>541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"07-dic-2026 al 10-dic-2026"</f>
        <v>07-dic-2026 al 10-dic-2026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90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443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444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92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542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444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543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95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544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445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97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446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100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447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102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448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13</v>
      </c>
      <c r="D24" s="21" t="s">
        <v>105</v>
      </c>
      <c r="E24" s="21" t="s">
        <v>20</v>
      </c>
      <c r="F24" s="21" t="s">
        <v>21</v>
      </c>
      <c r="G24" s="23"/>
      <c r="H24" s="23"/>
      <c r="I24" s="23" t="s">
        <v>108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14</v>
      </c>
      <c r="D25" s="21" t="s">
        <v>449</v>
      </c>
      <c r="E25" s="21" t="s">
        <v>417</v>
      </c>
      <c r="F25" s="21" t="s">
        <v>21</v>
      </c>
      <c r="G25" s="23"/>
      <c r="H25" s="23"/>
      <c r="I25" s="23" t="s">
        <v>108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15</v>
      </c>
      <c r="D26" s="21" t="s">
        <v>109</v>
      </c>
      <c r="E26" s="21" t="s">
        <v>25</v>
      </c>
      <c r="F26" s="21" t="s">
        <v>21</v>
      </c>
      <c r="G26" s="23"/>
      <c r="H26" s="23"/>
      <c r="I26" s="23" t="s">
        <v>108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16</v>
      </c>
      <c r="D27" s="21" t="s">
        <v>450</v>
      </c>
      <c r="E27" s="21" t="s">
        <v>419</v>
      </c>
      <c r="F27" s="24" t="s">
        <v>21</v>
      </c>
      <c r="G27" s="23"/>
      <c r="H27" s="23"/>
      <c r="I27" s="23" t="s">
        <v>112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397</v>
      </c>
      <c r="K2" s="4" t="s">
        <v>2</v>
      </c>
    </row>
    <row r="3" customFormat="false" ht="15" hidden="false" customHeight="true" outlineLevel="0" collapsed="false">
      <c r="B3" s="5" t="s">
        <v>545</v>
      </c>
      <c r="K3" s="6" t="s">
        <v>4</v>
      </c>
      <c r="L3" s="7" t="n">
        <f aca="false">COUNTIF(F12:F43,"Clase")</f>
        <v>32</v>
      </c>
    </row>
    <row r="4" customFormat="false" ht="15" hidden="false" customHeight="true" outlineLevel="0" collapsed="false">
      <c r="B4" s="8" t="s">
        <v>546</v>
      </c>
      <c r="K4" s="6" t="s">
        <v>6</v>
      </c>
      <c r="L4" s="7" t="n">
        <f aca="false">COUNTIF(F12:F43,"Asincrónico")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COUNTIF(F12:F43,"FERIADO")+COUNTIF(F12:F43,"RECESO")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MAX(B12:B43)</f>
        <v>8</v>
      </c>
    </row>
    <row r="7" customFormat="false" ht="15" hidden="false" customHeight="true" outlineLevel="0" collapsed="false">
      <c r="K7" s="6" t="s">
        <v>9</v>
      </c>
      <c r="L7" s="9" t="str">
        <f aca="false">"05-oct-2026 al 07-oct-2026"</f>
        <v>05-oct-2026 al 07-oct-2026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19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416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418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24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547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418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548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28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68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420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30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421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33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422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35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423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4</v>
      </c>
      <c r="C24" s="12" t="n">
        <f aca="false">IF(OR(F24="FERIADO",F24="RECESO"),"—",ROWS($F$12:F24)-COUNTIF($F$12:F24,"FERIADO")-COUNTIF($F$12:F24,"RECESO"))</f>
        <v>13</v>
      </c>
      <c r="D24" s="12" t="s">
        <v>38</v>
      </c>
      <c r="E24" s="12" t="s">
        <v>20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4</v>
      </c>
      <c r="C25" s="12" t="n">
        <f aca="false">IF(OR(F25="FERIADO",F25="RECESO"),"—",ROWS($F$12:F25)-COUNTIF($F$12:F25,"FERIADO")-COUNTIF($F$12:F25,"RECESO"))</f>
        <v>14</v>
      </c>
      <c r="D25" s="12" t="s">
        <v>424</v>
      </c>
      <c r="E25" s="12" t="s">
        <v>417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4</v>
      </c>
      <c r="C26" s="12" t="n">
        <f aca="false">IF(OR(F26="FERIADO",F26="RECESO"),"—",ROWS($F$12:F26)-COUNTIF($F$12:F26,"FERIADO")-COUNTIF($F$12:F26,"RECESO"))</f>
        <v>15</v>
      </c>
      <c r="D26" s="12" t="s">
        <v>40</v>
      </c>
      <c r="E26" s="12" t="s">
        <v>25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4</v>
      </c>
      <c r="C27" s="12" t="n">
        <f aca="false">IF(OR(F27="FERIADO",F27="RECESO"),"—",ROWS($F$12:F27)-COUNTIF($F$12:F27,"FERIADO")-COUNTIF($F$12:F27,"RECESO"))</f>
        <v>16</v>
      </c>
      <c r="D27" s="12" t="s">
        <v>425</v>
      </c>
      <c r="E27" s="12" t="s">
        <v>419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2" t="n">
        <v>5</v>
      </c>
      <c r="C28" s="12" t="n">
        <f aca="false">IF(OR(F28="FERIADO",F28="RECESO"),"—",ROWS($F$12:F28)-COUNTIF($F$12:F28,"FERIADO")-COUNTIF($F$12:F28,"RECESO"))</f>
        <v>17</v>
      </c>
      <c r="D28" s="12" t="s">
        <v>43</v>
      </c>
      <c r="E28" s="12" t="s">
        <v>20</v>
      </c>
      <c r="F28" s="12" t="s">
        <v>21</v>
      </c>
      <c r="G28" s="14"/>
      <c r="H28" s="14"/>
      <c r="I28" s="14"/>
    </row>
    <row r="29" customFormat="false" ht="15" hidden="false" customHeight="true" outlineLevel="0" collapsed="false">
      <c r="B29" s="12" t="n">
        <v>5</v>
      </c>
      <c r="C29" s="12" t="n">
        <f aca="false">IF(OR(F29="FERIADO",F29="RECESO"),"—",ROWS($F$12:F29)-COUNTIF($F$12:F29,"FERIADO")-COUNTIF($F$12:F29,"RECESO"))</f>
        <v>18</v>
      </c>
      <c r="D29" s="12" t="s">
        <v>426</v>
      </c>
      <c r="E29" s="12" t="s">
        <v>417</v>
      </c>
      <c r="F29" s="12" t="s">
        <v>21</v>
      </c>
      <c r="G29" s="14"/>
      <c r="H29" s="14"/>
      <c r="I29" s="14"/>
    </row>
    <row r="30" customFormat="false" ht="15" hidden="false" customHeight="true" outlineLevel="0" collapsed="false">
      <c r="B30" s="12" t="n">
        <v>5</v>
      </c>
      <c r="C30" s="12" t="n">
        <f aca="false">IF(OR(F30="FERIADO",F30="RECESO"),"—",ROWS($F$12:F30)-COUNTIF($F$12:F30,"FERIADO")-COUNTIF($F$12:F30,"RECESO"))</f>
        <v>19</v>
      </c>
      <c r="D30" s="12" t="s">
        <v>45</v>
      </c>
      <c r="E30" s="12" t="s">
        <v>25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5</v>
      </c>
      <c r="C31" s="12" t="n">
        <f aca="false">IF(OR(F31="FERIADO",F31="RECESO"),"—",ROWS($F$12:F31)-COUNTIF($F$12:F31,"FERIADO")-COUNTIF($F$12:F31,"RECESO"))</f>
        <v>20</v>
      </c>
      <c r="D31" s="12" t="s">
        <v>427</v>
      </c>
      <c r="E31" s="12" t="s">
        <v>419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6</v>
      </c>
      <c r="C32" s="12" t="n">
        <f aca="false">IF(OR(F32="FERIADO",F32="RECESO"),"—",ROWS($F$12:F32)-COUNTIF($F$12:F32,"FERIADO")-COUNTIF($F$12:F32,"RECESO"))</f>
        <v>21</v>
      </c>
      <c r="D32" s="12" t="s">
        <v>48</v>
      </c>
      <c r="E32" s="12" t="s">
        <v>20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6</v>
      </c>
      <c r="C33" s="12" t="n">
        <f aca="false">IF(OR(F33="FERIADO",F33="RECESO"),"—",ROWS($F$12:F33)-COUNTIF($F$12:F33,"FERIADO")-COUNTIF($F$12:F33,"RECESO"))</f>
        <v>22</v>
      </c>
      <c r="D33" s="12" t="s">
        <v>428</v>
      </c>
      <c r="E33" s="12" t="s">
        <v>417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6</v>
      </c>
      <c r="C34" s="12" t="n">
        <f aca="false">IF(OR(F34="FERIADO",F34="RECESO"),"—",ROWS($F$12:F34)-COUNTIF($F$12:F34,"FERIADO")-COUNTIF($F$12:F34,"RECESO"))</f>
        <v>23</v>
      </c>
      <c r="D34" s="12" t="s">
        <v>51</v>
      </c>
      <c r="E34" s="12" t="s">
        <v>25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2" t="n">
        <v>6</v>
      </c>
      <c r="C35" s="12" t="n">
        <f aca="false">IF(OR(F35="FERIADO",F35="RECESO"),"—",ROWS($F$12:F35)-COUNTIF($F$12:F35,"FERIADO")-COUNTIF($F$12:F35,"RECESO"))</f>
        <v>24</v>
      </c>
      <c r="D35" s="12" t="s">
        <v>429</v>
      </c>
      <c r="E35" s="12" t="s">
        <v>419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12" t="n">
        <v>7</v>
      </c>
      <c r="C36" s="12" t="n">
        <f aca="false">IF(OR(F36="FERIADO",F36="RECESO"),"—",ROWS($F$12:F36)-COUNTIF($F$12:F36,"FERIADO")-COUNTIF($F$12:F36,"RECESO"))</f>
        <v>25</v>
      </c>
      <c r="D36" s="12" t="s">
        <v>54</v>
      </c>
      <c r="E36" s="12" t="s">
        <v>20</v>
      </c>
      <c r="F36" s="12" t="s">
        <v>21</v>
      </c>
      <c r="G36" s="14"/>
      <c r="H36" s="14"/>
      <c r="I36" s="14"/>
    </row>
    <row r="37" customFormat="false" ht="15" hidden="false" customHeight="true" outlineLevel="0" collapsed="false">
      <c r="B37" s="12" t="n">
        <v>7</v>
      </c>
      <c r="C37" s="12" t="n">
        <f aca="false">IF(OR(F37="FERIADO",F37="RECESO"),"—",ROWS($F$12:F37)-COUNTIF($F$12:F37,"FERIADO")-COUNTIF($F$12:F37,"RECESO"))</f>
        <v>26</v>
      </c>
      <c r="D37" s="12" t="s">
        <v>430</v>
      </c>
      <c r="E37" s="12" t="s">
        <v>417</v>
      </c>
      <c r="F37" s="12" t="s">
        <v>21</v>
      </c>
      <c r="G37" s="14"/>
      <c r="H37" s="14"/>
      <c r="I37" s="14"/>
    </row>
    <row r="38" customFormat="false" ht="15" hidden="false" customHeight="true" outlineLevel="0" collapsed="false">
      <c r="B38" s="12" t="n">
        <v>7</v>
      </c>
      <c r="C38" s="12" t="n">
        <f aca="false">IF(OR(F38="FERIADO",F38="RECESO"),"—",ROWS($F$12:F38)-COUNTIF($F$12:F38,"FERIADO")-COUNTIF($F$12:F38,"RECESO"))</f>
        <v>27</v>
      </c>
      <c r="D38" s="12" t="s">
        <v>56</v>
      </c>
      <c r="E38" s="12" t="s">
        <v>25</v>
      </c>
      <c r="F38" s="12" t="s">
        <v>21</v>
      </c>
      <c r="G38" s="14"/>
      <c r="H38" s="14"/>
      <c r="I38" s="14"/>
    </row>
    <row r="39" customFormat="false" ht="15" hidden="false" customHeight="true" outlineLevel="0" collapsed="false">
      <c r="B39" s="12" t="n">
        <v>7</v>
      </c>
      <c r="C39" s="12" t="n">
        <f aca="false">IF(OR(F39="FERIADO",F39="RECESO"),"—",ROWS($F$12:F39)-COUNTIF($F$12:F39,"FERIADO")-COUNTIF($F$12:F39,"RECESO"))</f>
        <v>28</v>
      </c>
      <c r="D39" s="12" t="s">
        <v>431</v>
      </c>
      <c r="E39" s="12" t="s">
        <v>419</v>
      </c>
      <c r="F39" s="12" t="s">
        <v>21</v>
      </c>
      <c r="G39" s="14"/>
      <c r="H39" s="14"/>
      <c r="I39" s="14"/>
    </row>
    <row r="40" customFormat="false" ht="15" hidden="false" customHeight="true" outlineLevel="0" collapsed="false">
      <c r="B40" s="21" t="n">
        <v>8</v>
      </c>
      <c r="C40" s="21" t="n">
        <f aca="false">IF(OR(F40="FERIADO",F40="RECESO"),"—",ROWS($F$12:F40)-COUNTIF($F$12:F40,"FERIADO")-COUNTIF($F$12:F40,"RECESO"))</f>
        <v>29</v>
      </c>
      <c r="D40" s="21" t="s">
        <v>59</v>
      </c>
      <c r="E40" s="21" t="s">
        <v>20</v>
      </c>
      <c r="F40" s="21" t="s">
        <v>21</v>
      </c>
      <c r="G40" s="23"/>
      <c r="H40" s="23"/>
      <c r="I40" s="23" t="s">
        <v>532</v>
      </c>
    </row>
    <row r="41" customFormat="false" ht="15" hidden="false" customHeight="true" outlineLevel="0" collapsed="false">
      <c r="B41" s="21" t="n">
        <v>8</v>
      </c>
      <c r="C41" s="21" t="n">
        <f aca="false">IF(OR(F41="FERIADO",F41="RECESO"),"—",ROWS($F$12:F41)-COUNTIF($F$12:F41,"FERIADO")-COUNTIF($F$12:F41,"RECESO"))</f>
        <v>30</v>
      </c>
      <c r="D41" s="21" t="s">
        <v>432</v>
      </c>
      <c r="E41" s="21" t="s">
        <v>417</v>
      </c>
      <c r="F41" s="21" t="s">
        <v>21</v>
      </c>
      <c r="G41" s="23"/>
      <c r="H41" s="23"/>
      <c r="I41" s="23" t="s">
        <v>532</v>
      </c>
    </row>
    <row r="42" customFormat="false" ht="15" hidden="false" customHeight="true" outlineLevel="0" collapsed="false">
      <c r="B42" s="21" t="n">
        <v>8</v>
      </c>
      <c r="C42" s="21" t="n">
        <f aca="false">IF(OR(F42="FERIADO",F42="RECESO"),"—",ROWS($F$12:F42)-COUNTIF($F$12:F42,"FERIADO")-COUNTIF($F$12:F42,"RECESO"))</f>
        <v>31</v>
      </c>
      <c r="D42" s="21" t="s">
        <v>61</v>
      </c>
      <c r="E42" s="21" t="s">
        <v>25</v>
      </c>
      <c r="F42" s="21" t="s">
        <v>21</v>
      </c>
      <c r="G42" s="23"/>
      <c r="H42" s="23"/>
      <c r="I42" s="23" t="s">
        <v>532</v>
      </c>
    </row>
    <row r="43" customFormat="false" ht="15" hidden="false" customHeight="true" outlineLevel="0" collapsed="false">
      <c r="B43" s="48" t="n">
        <v>8</v>
      </c>
      <c r="C43" s="48" t="n">
        <f aca="false">IF(OR(F43="FERIADO",F43="RECESO"),"—",ROWS($F$12:F43)-COUNTIF($F$12:F43,"FERIADO")-COUNTIF($F$12:F43,"RECESO"))</f>
        <v>32</v>
      </c>
      <c r="D43" s="48" t="s">
        <v>433</v>
      </c>
      <c r="E43" s="48" t="s">
        <v>419</v>
      </c>
      <c r="F43" s="49" t="s">
        <v>21</v>
      </c>
      <c r="G43" s="50"/>
      <c r="H43" s="50"/>
      <c r="I43" s="50" t="s">
        <v>533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400</v>
      </c>
      <c r="K2" s="4" t="s">
        <v>2</v>
      </c>
    </row>
    <row r="3" customFormat="false" ht="15" hidden="false" customHeight="true" outlineLevel="0" collapsed="false">
      <c r="B3" s="5" t="s">
        <v>549</v>
      </c>
      <c r="K3" s="6" t="s">
        <v>4</v>
      </c>
      <c r="L3" s="7" t="n">
        <f aca="false">COUNTIF(F12:F43,"Clase")</f>
        <v>30</v>
      </c>
    </row>
    <row r="4" customFormat="false" ht="15" hidden="false" customHeight="true" outlineLevel="0" collapsed="false">
      <c r="B4" s="8" t="s">
        <v>550</v>
      </c>
      <c r="K4" s="6" t="s">
        <v>6</v>
      </c>
      <c r="L4" s="7" t="n">
        <f aca="false">COUNTIF(F12:F43,"Asincrónico")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COUNTIF(F12:F43,"FERIADO")+COUNTIF(F12:F43,"RECESO")</f>
        <v>2</v>
      </c>
    </row>
    <row r="6" customFormat="false" ht="15" hidden="false" customHeight="true" outlineLevel="0" collapsed="false">
      <c r="K6" s="6" t="s">
        <v>8</v>
      </c>
      <c r="L6" s="7" t="n">
        <f aca="false">MAX(B12:B43)</f>
        <v>8</v>
      </c>
    </row>
    <row r="7" customFormat="false" ht="15" hidden="false" customHeight="true" outlineLevel="0" collapsed="false">
      <c r="K7" s="6" t="s">
        <v>9</v>
      </c>
      <c r="L7" s="9" t="str">
        <f aca="false">"07-dic-2026 al 10-dic-2026"</f>
        <v>07-dic-2026 al 10-dic-2026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68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436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437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71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551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437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552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74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553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438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76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439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9" t="n">
        <v>3</v>
      </c>
      <c r="C20" s="19" t="str">
        <f aca="false">IF(OR(F20="FERIADO",F20="RECESO"),"—",ROWS($F$12:F20)-COUNTIF($F$12:F20,"FERIADO")-COUNTIF($F$12:F20,"RECESO"))</f>
        <v>—</v>
      </c>
      <c r="D20" s="19" t="s">
        <v>79</v>
      </c>
      <c r="E20" s="19" t="s">
        <v>20</v>
      </c>
      <c r="F20" s="19" t="s">
        <v>80</v>
      </c>
      <c r="G20" s="20"/>
      <c r="H20" s="20"/>
      <c r="I20" s="20" t="s">
        <v>81</v>
      </c>
    </row>
    <row r="21" customFormat="false" ht="15" hidden="false" customHeight="true" outlineLevel="0" collapsed="false">
      <c r="B21" s="19" t="n">
        <v>3</v>
      </c>
      <c r="C21" s="19" t="str">
        <f aca="false">IF(OR(F21="FERIADO",F21="RECESO"),"—",ROWS($F$12:F21)-COUNTIF($F$12:F21,"FERIADO")-COUNTIF($F$12:F21,"RECESO"))</f>
        <v>—</v>
      </c>
      <c r="D21" s="19" t="s">
        <v>354</v>
      </c>
      <c r="E21" s="19" t="s">
        <v>417</v>
      </c>
      <c r="F21" s="19" t="s">
        <v>80</v>
      </c>
      <c r="G21" s="20"/>
      <c r="H21" s="20"/>
      <c r="I21" s="20" t="s">
        <v>81</v>
      </c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9</v>
      </c>
      <c r="D22" s="12" t="s">
        <v>82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10</v>
      </c>
      <c r="D23" s="12" t="s">
        <v>440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4</v>
      </c>
      <c r="C24" s="12" t="n">
        <f aca="false">IF(OR(F24="FERIADO",F24="RECESO"),"—",ROWS($F$12:F24)-COUNTIF($F$12:F24,"FERIADO")-COUNTIF($F$12:F24,"RECESO"))</f>
        <v>11</v>
      </c>
      <c r="D24" s="12" t="s">
        <v>85</v>
      </c>
      <c r="E24" s="12" t="s">
        <v>20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4</v>
      </c>
      <c r="C25" s="12" t="n">
        <f aca="false">IF(OR(F25="FERIADO",F25="RECESO"),"—",ROWS($F$12:F25)-COUNTIF($F$12:F25,"FERIADO")-COUNTIF($F$12:F25,"RECESO"))</f>
        <v>12</v>
      </c>
      <c r="D25" s="12" t="s">
        <v>441</v>
      </c>
      <c r="E25" s="12" t="s">
        <v>417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4</v>
      </c>
      <c r="C26" s="12" t="n">
        <f aca="false">IF(OR(F26="FERIADO",F26="RECESO"),"—",ROWS($F$12:F26)-COUNTIF($F$12:F26,"FERIADO")-COUNTIF($F$12:F26,"RECESO"))</f>
        <v>13</v>
      </c>
      <c r="D26" s="12" t="s">
        <v>87</v>
      </c>
      <c r="E26" s="12" t="s">
        <v>25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4</v>
      </c>
      <c r="C27" s="12" t="n">
        <f aca="false">IF(OR(F27="FERIADO",F27="RECESO"),"—",ROWS($F$12:F27)-COUNTIF($F$12:F27,"FERIADO")-COUNTIF($F$12:F27,"RECESO"))</f>
        <v>14</v>
      </c>
      <c r="D27" s="12" t="s">
        <v>442</v>
      </c>
      <c r="E27" s="12" t="s">
        <v>419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2" t="n">
        <v>5</v>
      </c>
      <c r="C28" s="12" t="n">
        <f aca="false">IF(OR(F28="FERIADO",F28="RECESO"),"—",ROWS($F$12:F28)-COUNTIF($F$12:F28,"FERIADO")-COUNTIF($F$12:F28,"RECESO"))</f>
        <v>15</v>
      </c>
      <c r="D28" s="12" t="s">
        <v>90</v>
      </c>
      <c r="E28" s="12" t="s">
        <v>20</v>
      </c>
      <c r="F28" s="12" t="s">
        <v>21</v>
      </c>
      <c r="G28" s="14"/>
      <c r="H28" s="14"/>
      <c r="I28" s="14"/>
    </row>
    <row r="29" customFormat="false" ht="15" hidden="false" customHeight="true" outlineLevel="0" collapsed="false">
      <c r="B29" s="12" t="n">
        <v>5</v>
      </c>
      <c r="C29" s="12" t="n">
        <f aca="false">IF(OR(F29="FERIADO",F29="RECESO"),"—",ROWS($F$12:F29)-COUNTIF($F$12:F29,"FERIADO")-COUNTIF($F$12:F29,"RECESO"))</f>
        <v>16</v>
      </c>
      <c r="D29" s="12" t="s">
        <v>443</v>
      </c>
      <c r="E29" s="12" t="s">
        <v>417</v>
      </c>
      <c r="F29" s="12" t="s">
        <v>21</v>
      </c>
      <c r="G29" s="14"/>
      <c r="H29" s="14"/>
      <c r="I29" s="14"/>
    </row>
    <row r="30" customFormat="false" ht="15" hidden="false" customHeight="true" outlineLevel="0" collapsed="false">
      <c r="B30" s="12" t="n">
        <v>5</v>
      </c>
      <c r="C30" s="12" t="n">
        <f aca="false">IF(OR(F30="FERIADO",F30="RECESO"),"—",ROWS($F$12:F30)-COUNTIF($F$12:F30,"FERIADO")-COUNTIF($F$12:F30,"RECESO"))</f>
        <v>17</v>
      </c>
      <c r="D30" s="12" t="s">
        <v>92</v>
      </c>
      <c r="E30" s="12" t="s">
        <v>25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5</v>
      </c>
      <c r="C31" s="12" t="n">
        <f aca="false">IF(OR(F31="FERIADO",F31="RECESO"),"—",ROWS($F$12:F31)-COUNTIF($F$12:F31,"FERIADO")-COUNTIF($F$12:F31,"RECESO"))</f>
        <v>18</v>
      </c>
      <c r="D31" s="12" t="s">
        <v>444</v>
      </c>
      <c r="E31" s="12" t="s">
        <v>419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6</v>
      </c>
      <c r="C32" s="12" t="n">
        <f aca="false">IF(OR(F32="FERIADO",F32="RECESO"),"—",ROWS($F$12:F32)-COUNTIF($F$12:F32,"FERIADO")-COUNTIF($F$12:F32,"RECESO"))</f>
        <v>19</v>
      </c>
      <c r="D32" s="12" t="s">
        <v>95</v>
      </c>
      <c r="E32" s="12" t="s">
        <v>20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6</v>
      </c>
      <c r="C33" s="12" t="n">
        <f aca="false">IF(OR(F33="FERIADO",F33="RECESO"),"—",ROWS($F$12:F33)-COUNTIF($F$12:F33,"FERIADO")-COUNTIF($F$12:F33,"RECESO"))</f>
        <v>20</v>
      </c>
      <c r="D33" s="12" t="s">
        <v>445</v>
      </c>
      <c r="E33" s="12" t="s">
        <v>417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6</v>
      </c>
      <c r="C34" s="12" t="n">
        <f aca="false">IF(OR(F34="FERIADO",F34="RECESO"),"—",ROWS($F$12:F34)-COUNTIF($F$12:F34,"FERIADO")-COUNTIF($F$12:F34,"RECESO"))</f>
        <v>21</v>
      </c>
      <c r="D34" s="12" t="s">
        <v>97</v>
      </c>
      <c r="E34" s="12" t="s">
        <v>25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2" t="n">
        <v>6</v>
      </c>
      <c r="C35" s="12" t="n">
        <f aca="false">IF(OR(F35="FERIADO",F35="RECESO"),"—",ROWS($F$12:F35)-COUNTIF($F$12:F35,"FERIADO")-COUNTIF($F$12:F35,"RECESO"))</f>
        <v>22</v>
      </c>
      <c r="D35" s="12" t="s">
        <v>446</v>
      </c>
      <c r="E35" s="12" t="s">
        <v>419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12" t="n">
        <v>7</v>
      </c>
      <c r="C36" s="12" t="n">
        <f aca="false">IF(OR(F36="FERIADO",F36="RECESO"),"—",ROWS($F$12:F36)-COUNTIF($F$12:F36,"FERIADO")-COUNTIF($F$12:F36,"RECESO"))</f>
        <v>23</v>
      </c>
      <c r="D36" s="12" t="s">
        <v>100</v>
      </c>
      <c r="E36" s="12" t="s">
        <v>20</v>
      </c>
      <c r="F36" s="12" t="s">
        <v>21</v>
      </c>
      <c r="G36" s="14"/>
      <c r="H36" s="14"/>
      <c r="I36" s="14"/>
    </row>
    <row r="37" customFormat="false" ht="15" hidden="false" customHeight="true" outlineLevel="0" collapsed="false">
      <c r="B37" s="12" t="n">
        <v>7</v>
      </c>
      <c r="C37" s="12" t="n">
        <f aca="false">IF(OR(F37="FERIADO",F37="RECESO"),"—",ROWS($F$12:F37)-COUNTIF($F$12:F37,"FERIADO")-COUNTIF($F$12:F37,"RECESO"))</f>
        <v>24</v>
      </c>
      <c r="D37" s="12" t="s">
        <v>447</v>
      </c>
      <c r="E37" s="12" t="s">
        <v>417</v>
      </c>
      <c r="F37" s="12" t="s">
        <v>21</v>
      </c>
      <c r="G37" s="14"/>
      <c r="H37" s="14"/>
      <c r="I37" s="14"/>
    </row>
    <row r="38" customFormat="false" ht="15" hidden="false" customHeight="true" outlineLevel="0" collapsed="false">
      <c r="B38" s="12" t="n">
        <v>7</v>
      </c>
      <c r="C38" s="12" t="n">
        <f aca="false">IF(OR(F38="FERIADO",F38="RECESO"),"—",ROWS($F$12:F38)-COUNTIF($F$12:F38,"FERIADO")-COUNTIF($F$12:F38,"RECESO"))</f>
        <v>25</v>
      </c>
      <c r="D38" s="12" t="s">
        <v>102</v>
      </c>
      <c r="E38" s="12" t="s">
        <v>25</v>
      </c>
      <c r="F38" s="12" t="s">
        <v>21</v>
      </c>
      <c r="G38" s="14"/>
      <c r="H38" s="14"/>
      <c r="I38" s="14"/>
    </row>
    <row r="39" customFormat="false" ht="15" hidden="false" customHeight="true" outlineLevel="0" collapsed="false">
      <c r="B39" s="12" t="n">
        <v>7</v>
      </c>
      <c r="C39" s="12" t="n">
        <f aca="false">IF(OR(F39="FERIADO",F39="RECESO"),"—",ROWS($F$12:F39)-COUNTIF($F$12:F39,"FERIADO")-COUNTIF($F$12:F39,"RECESO"))</f>
        <v>26</v>
      </c>
      <c r="D39" s="12" t="s">
        <v>448</v>
      </c>
      <c r="E39" s="12" t="s">
        <v>419</v>
      </c>
      <c r="F39" s="12" t="s">
        <v>21</v>
      </c>
      <c r="G39" s="14"/>
      <c r="H39" s="14"/>
      <c r="I39" s="14"/>
    </row>
    <row r="40" customFormat="false" ht="15" hidden="false" customHeight="true" outlineLevel="0" collapsed="false">
      <c r="B40" s="21" t="n">
        <v>8</v>
      </c>
      <c r="C40" s="21" t="n">
        <f aca="false">IF(OR(F40="FERIADO",F40="RECESO"),"—",ROWS($F$12:F40)-COUNTIF($F$12:F40,"FERIADO")-COUNTIF($F$12:F40,"RECESO"))</f>
        <v>27</v>
      </c>
      <c r="D40" s="21" t="s">
        <v>105</v>
      </c>
      <c r="E40" s="21" t="s">
        <v>20</v>
      </c>
      <c r="F40" s="21" t="s">
        <v>21</v>
      </c>
      <c r="G40" s="23"/>
      <c r="H40" s="23"/>
      <c r="I40" s="23" t="s">
        <v>108</v>
      </c>
    </row>
    <row r="41" customFormat="false" ht="15" hidden="false" customHeight="true" outlineLevel="0" collapsed="false">
      <c r="B41" s="21" t="n">
        <v>8</v>
      </c>
      <c r="C41" s="21" t="n">
        <f aca="false">IF(OR(F41="FERIADO",F41="RECESO"),"—",ROWS($F$12:F41)-COUNTIF($F$12:F41,"FERIADO")-COUNTIF($F$12:F41,"RECESO"))</f>
        <v>28</v>
      </c>
      <c r="D41" s="21" t="s">
        <v>449</v>
      </c>
      <c r="E41" s="21" t="s">
        <v>417</v>
      </c>
      <c r="F41" s="21" t="s">
        <v>21</v>
      </c>
      <c r="G41" s="23"/>
      <c r="H41" s="23"/>
      <c r="I41" s="23" t="s">
        <v>108</v>
      </c>
    </row>
    <row r="42" customFormat="false" ht="15" hidden="false" customHeight="true" outlineLevel="0" collapsed="false">
      <c r="B42" s="21" t="n">
        <v>8</v>
      </c>
      <c r="C42" s="21" t="n">
        <f aca="false">IF(OR(F42="FERIADO",F42="RECESO"),"—",ROWS($F$12:F42)-COUNTIF($F$12:F42,"FERIADO")-COUNTIF($F$12:F42,"RECESO"))</f>
        <v>29</v>
      </c>
      <c r="D42" s="21" t="s">
        <v>109</v>
      </c>
      <c r="E42" s="21" t="s">
        <v>25</v>
      </c>
      <c r="F42" s="21" t="s">
        <v>21</v>
      </c>
      <c r="G42" s="23"/>
      <c r="H42" s="23"/>
      <c r="I42" s="23" t="s">
        <v>108</v>
      </c>
    </row>
    <row r="43" customFormat="false" ht="23.25" hidden="false" customHeight="true" outlineLevel="0" collapsed="false">
      <c r="B43" s="21" t="n">
        <v>8</v>
      </c>
      <c r="C43" s="21" t="n">
        <f aca="false">IF(OR(F43="FERIADO",F43="RECESO"),"—",ROWS($F$12:F43)-COUNTIF($F$12:F43,"FERIADO")-COUNTIF($F$12:F43,"RECESO"))</f>
        <v>30</v>
      </c>
      <c r="D43" s="21" t="s">
        <v>450</v>
      </c>
      <c r="E43" s="21" t="s">
        <v>419</v>
      </c>
      <c r="F43" s="24" t="s">
        <v>21</v>
      </c>
      <c r="G43" s="23"/>
      <c r="H43" s="23"/>
      <c r="I43" s="23" t="s">
        <v>112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401</v>
      </c>
      <c r="K2" s="4" t="s">
        <v>2</v>
      </c>
    </row>
    <row r="3" customFormat="false" ht="15" hidden="false" customHeight="true" outlineLevel="0" collapsed="false">
      <c r="B3" s="5" t="s">
        <v>554</v>
      </c>
      <c r="K3" s="6" t="s">
        <v>4</v>
      </c>
      <c r="L3" s="7" t="n">
        <f aca="false">COUNTIF(F12:F27,"Clase")</f>
        <v>16</v>
      </c>
    </row>
    <row r="4" customFormat="false" ht="15" hidden="false" customHeight="true" outlineLevel="0" collapsed="false">
      <c r="B4" s="8" t="s">
        <v>555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"01-feb-2027 al 04-feb-2027"</f>
        <v>01-feb-2027 al 04-feb-2027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260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486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487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454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556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487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557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455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462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488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456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489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457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490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458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491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13</v>
      </c>
      <c r="D24" s="21" t="s">
        <v>459</v>
      </c>
      <c r="E24" s="21" t="s">
        <v>20</v>
      </c>
      <c r="F24" s="21" t="s">
        <v>21</v>
      </c>
      <c r="G24" s="23"/>
      <c r="H24" s="23"/>
      <c r="I24" s="23" t="s">
        <v>558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14</v>
      </c>
      <c r="D25" s="21" t="s">
        <v>492</v>
      </c>
      <c r="E25" s="21" t="s">
        <v>417</v>
      </c>
      <c r="F25" s="21" t="s">
        <v>21</v>
      </c>
      <c r="G25" s="23"/>
      <c r="H25" s="23"/>
      <c r="I25" s="23" t="s">
        <v>558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15</v>
      </c>
      <c r="D26" s="21" t="s">
        <v>460</v>
      </c>
      <c r="E26" s="21" t="s">
        <v>25</v>
      </c>
      <c r="F26" s="21" t="s">
        <v>21</v>
      </c>
      <c r="G26" s="23"/>
      <c r="H26" s="23"/>
      <c r="I26" s="23" t="s">
        <v>558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16</v>
      </c>
      <c r="D27" s="21" t="s">
        <v>493</v>
      </c>
      <c r="E27" s="21" t="s">
        <v>419</v>
      </c>
      <c r="F27" s="24" t="s">
        <v>21</v>
      </c>
      <c r="G27" s="23"/>
      <c r="H27" s="23"/>
      <c r="I27" s="23" t="s">
        <v>559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402</v>
      </c>
      <c r="K2" s="4" t="s">
        <v>2</v>
      </c>
    </row>
    <row r="3" customFormat="false" ht="15" hidden="false" customHeight="true" outlineLevel="0" collapsed="false">
      <c r="B3" s="5" t="s">
        <v>560</v>
      </c>
      <c r="K3" s="6" t="s">
        <v>4</v>
      </c>
      <c r="L3" s="7" t="n">
        <f aca="false">COUNTIF(F12:F27,"Clase")</f>
        <v>13</v>
      </c>
    </row>
    <row r="4" customFormat="false" ht="15" hidden="false" customHeight="true" outlineLevel="0" collapsed="false">
      <c r="B4" s="8" t="s">
        <v>561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3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"01-mar-2027 al 04-mar-2027"</f>
        <v>01-mar-2027 al 04-mar-2027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9" t="n">
        <v>1</v>
      </c>
      <c r="C12" s="19" t="str">
        <f aca="false">IF(OR(F12="FERIADO",F12="RECESO"),"—",ROWS($F$12:F12)-COUNTIF($F$12:F12,"FERIADO")-COUNTIF($F$12:F12,"RECESO"))</f>
        <v>—</v>
      </c>
      <c r="D12" s="19" t="s">
        <v>281</v>
      </c>
      <c r="E12" s="19" t="s">
        <v>20</v>
      </c>
      <c r="F12" s="19" t="s">
        <v>80</v>
      </c>
      <c r="G12" s="20"/>
      <c r="H12" s="20"/>
      <c r="I12" s="20" t="s">
        <v>361</v>
      </c>
      <c r="K12" s="4" t="s">
        <v>520</v>
      </c>
    </row>
    <row r="13" customFormat="false" ht="23.25" hidden="false" customHeight="true" outlineLevel="0" collapsed="false">
      <c r="B13" s="19" t="n">
        <v>1</v>
      </c>
      <c r="C13" s="19" t="str">
        <f aca="false">IF(OR(F13="FERIADO",F13="RECESO"),"—",ROWS($F$12:F13)-COUNTIF($F$12:F13,"FERIADO")-COUNTIF($F$12:F13,"RECESO"))</f>
        <v>—</v>
      </c>
      <c r="D13" s="19" t="s">
        <v>363</v>
      </c>
      <c r="E13" s="19" t="s">
        <v>417</v>
      </c>
      <c r="F13" s="19" t="s">
        <v>80</v>
      </c>
      <c r="G13" s="20"/>
      <c r="H13" s="20"/>
      <c r="I13" s="20" t="s">
        <v>361</v>
      </c>
      <c r="K13" s="6" t="s">
        <v>521</v>
      </c>
      <c r="L13" s="9" t="s">
        <v>494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1</v>
      </c>
      <c r="D14" s="12" t="s">
        <v>461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562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2</v>
      </c>
      <c r="D15" s="12" t="s">
        <v>494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563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3</v>
      </c>
      <c r="D16" s="12" t="s">
        <v>462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284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4</v>
      </c>
      <c r="D17" s="12" t="s">
        <v>495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5</v>
      </c>
      <c r="D18" s="12" t="s">
        <v>463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9" t="n">
        <v>2</v>
      </c>
      <c r="C19" s="19" t="str">
        <f aca="false">IF(OR(F19="FERIADO",F19="RECESO"),"—",ROWS($F$12:F19)-COUNTIF($F$12:F19,"FERIADO")-COUNTIF($F$12:F19,"RECESO"))</f>
        <v>—</v>
      </c>
      <c r="D19" s="19" t="s">
        <v>365</v>
      </c>
      <c r="E19" s="19" t="s">
        <v>419</v>
      </c>
      <c r="F19" s="19" t="s">
        <v>80</v>
      </c>
      <c r="G19" s="20"/>
      <c r="H19" s="20"/>
      <c r="I19" s="20" t="s">
        <v>364</v>
      </c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6</v>
      </c>
      <c r="D20" s="12" t="s">
        <v>464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7</v>
      </c>
      <c r="D21" s="12" t="s">
        <v>496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8</v>
      </c>
      <c r="D22" s="12" t="s">
        <v>465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9</v>
      </c>
      <c r="D23" s="12" t="s">
        <v>497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10</v>
      </c>
      <c r="D24" s="21" t="s">
        <v>466</v>
      </c>
      <c r="E24" s="21" t="s">
        <v>20</v>
      </c>
      <c r="F24" s="21" t="s">
        <v>21</v>
      </c>
      <c r="G24" s="23"/>
      <c r="H24" s="23"/>
      <c r="I24" s="23" t="s">
        <v>564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11</v>
      </c>
      <c r="D25" s="21" t="s">
        <v>498</v>
      </c>
      <c r="E25" s="21" t="s">
        <v>417</v>
      </c>
      <c r="F25" s="21" t="s">
        <v>21</v>
      </c>
      <c r="G25" s="23"/>
      <c r="H25" s="23"/>
      <c r="I25" s="23" t="s">
        <v>564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12</v>
      </c>
      <c r="D26" s="21" t="s">
        <v>467</v>
      </c>
      <c r="E26" s="21" t="s">
        <v>25</v>
      </c>
      <c r="F26" s="21" t="s">
        <v>21</v>
      </c>
      <c r="G26" s="23"/>
      <c r="H26" s="23"/>
      <c r="I26" s="23" t="s">
        <v>564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13</v>
      </c>
      <c r="D27" s="21" t="s">
        <v>499</v>
      </c>
      <c r="E27" s="21" t="s">
        <v>419</v>
      </c>
      <c r="F27" s="24" t="s">
        <v>21</v>
      </c>
      <c r="G27" s="23"/>
      <c r="H27" s="23"/>
      <c r="I27" s="23" t="s">
        <v>565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403</v>
      </c>
      <c r="K2" s="4" t="s">
        <v>2</v>
      </c>
    </row>
    <row r="3" customFormat="false" ht="15" hidden="false" customHeight="true" outlineLevel="0" collapsed="false">
      <c r="B3" s="5" t="s">
        <v>566</v>
      </c>
      <c r="K3" s="6" t="s">
        <v>4</v>
      </c>
      <c r="L3" s="7" t="n">
        <f aca="false">COUNTIF(F12:F27,"Clase")</f>
        <v>16</v>
      </c>
    </row>
    <row r="4" customFormat="false" ht="15" hidden="false" customHeight="true" outlineLevel="0" collapsed="false">
      <c r="B4" s="8" t="s">
        <v>567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"05-abr-2027 al 08-abr-2027"</f>
        <v>05-abr-2027 al 08-abr-2027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284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502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503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469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568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503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569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470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477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504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471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505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472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506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473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507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13</v>
      </c>
      <c r="D24" s="21" t="s">
        <v>474</v>
      </c>
      <c r="E24" s="21" t="s">
        <v>20</v>
      </c>
      <c r="F24" s="21" t="s">
        <v>21</v>
      </c>
      <c r="G24" s="23"/>
      <c r="H24" s="23"/>
      <c r="I24" s="23" t="s">
        <v>570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14</v>
      </c>
      <c r="D25" s="21" t="s">
        <v>508</v>
      </c>
      <c r="E25" s="21" t="s">
        <v>417</v>
      </c>
      <c r="F25" s="21" t="s">
        <v>21</v>
      </c>
      <c r="G25" s="23"/>
      <c r="H25" s="23"/>
      <c r="I25" s="23" t="s">
        <v>570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15</v>
      </c>
      <c r="D26" s="21" t="s">
        <v>475</v>
      </c>
      <c r="E26" s="21" t="s">
        <v>25</v>
      </c>
      <c r="F26" s="21" t="s">
        <v>21</v>
      </c>
      <c r="G26" s="23"/>
      <c r="H26" s="23"/>
      <c r="I26" s="23" t="s">
        <v>570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16</v>
      </c>
      <c r="D27" s="21" t="s">
        <v>509</v>
      </c>
      <c r="E27" s="21" t="s">
        <v>419</v>
      </c>
      <c r="F27" s="24" t="s">
        <v>21</v>
      </c>
      <c r="G27" s="23"/>
      <c r="H27" s="23"/>
      <c r="I27" s="23" t="s">
        <v>571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404</v>
      </c>
      <c r="K2" s="4" t="s">
        <v>2</v>
      </c>
    </row>
    <row r="3" customFormat="false" ht="15" hidden="false" customHeight="true" outlineLevel="0" collapsed="false">
      <c r="B3" s="5" t="s">
        <v>572</v>
      </c>
      <c r="K3" s="6" t="s">
        <v>4</v>
      </c>
      <c r="L3" s="7" t="n">
        <f aca="false">COUNTIF(F12:F27,"Clase")</f>
        <v>16</v>
      </c>
    </row>
    <row r="4" customFormat="false" ht="15" hidden="false" customHeight="true" outlineLevel="0" collapsed="false">
      <c r="B4" s="8" t="s">
        <v>573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"03-may-2027 al 06-may-2027"</f>
        <v>03-may-2027 al 06-may-2027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287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510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511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476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574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511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575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477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576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512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478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513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479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514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480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515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13</v>
      </c>
      <c r="D24" s="21" t="s">
        <v>481</v>
      </c>
      <c r="E24" s="21" t="s">
        <v>20</v>
      </c>
      <c r="F24" s="21" t="s">
        <v>21</v>
      </c>
      <c r="G24" s="23"/>
      <c r="H24" s="23"/>
      <c r="I24" s="23" t="s">
        <v>482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14</v>
      </c>
      <c r="D25" s="21" t="s">
        <v>516</v>
      </c>
      <c r="E25" s="21" t="s">
        <v>417</v>
      </c>
      <c r="F25" s="21" t="s">
        <v>21</v>
      </c>
      <c r="G25" s="23"/>
      <c r="H25" s="23"/>
      <c r="I25" s="23" t="s">
        <v>482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15</v>
      </c>
      <c r="D26" s="21" t="s">
        <v>483</v>
      </c>
      <c r="E26" s="21" t="s">
        <v>25</v>
      </c>
      <c r="F26" s="21" t="s">
        <v>21</v>
      </c>
      <c r="G26" s="23"/>
      <c r="H26" s="23"/>
      <c r="I26" s="23" t="s">
        <v>482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16</v>
      </c>
      <c r="D27" s="21" t="s">
        <v>517</v>
      </c>
      <c r="E27" s="21" t="s">
        <v>419</v>
      </c>
      <c r="F27" s="24" t="s">
        <v>21</v>
      </c>
      <c r="G27" s="23"/>
      <c r="H27" s="23"/>
      <c r="I27" s="23" t="s">
        <v>484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405</v>
      </c>
      <c r="K2" s="4" t="s">
        <v>2</v>
      </c>
    </row>
    <row r="3" customFormat="false" ht="15" hidden="false" customHeight="true" outlineLevel="0" collapsed="false">
      <c r="B3" s="5" t="s">
        <v>577</v>
      </c>
      <c r="K3" s="6" t="s">
        <v>4</v>
      </c>
      <c r="L3" s="7" t="n">
        <f aca="false">COUNTIF(F12:F43,"Clase")</f>
        <v>29</v>
      </c>
    </row>
    <row r="4" customFormat="false" ht="15" hidden="false" customHeight="true" outlineLevel="0" collapsed="false">
      <c r="B4" s="8" t="s">
        <v>578</v>
      </c>
      <c r="K4" s="6" t="s">
        <v>6</v>
      </c>
      <c r="L4" s="7" t="n">
        <f aca="false">COUNTIF(F12:F43,"Asincrónico")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COUNTIF(F12:F43,"FERIADO")+COUNTIF(F12:F43,"RECESO")</f>
        <v>3</v>
      </c>
    </row>
    <row r="6" customFormat="false" ht="15" hidden="false" customHeight="true" outlineLevel="0" collapsed="false">
      <c r="K6" s="6" t="s">
        <v>8</v>
      </c>
      <c r="L6" s="7" t="n">
        <f aca="false">MAX(B12:B43)</f>
        <v>8</v>
      </c>
    </row>
    <row r="7" customFormat="false" ht="15" hidden="false" customHeight="true" outlineLevel="0" collapsed="false">
      <c r="K7" s="6" t="s">
        <v>9</v>
      </c>
      <c r="L7" s="9" t="str">
        <f aca="false">"01-mar-2027 al 04-mar-2027"</f>
        <v>01-mar-2027 al 04-mar-2027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260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486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487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454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579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487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580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455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501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488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456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489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457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490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458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491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4</v>
      </c>
      <c r="C24" s="12" t="n">
        <f aca="false">IF(OR(F24="FERIADO",F24="RECESO"),"—",ROWS($F$12:F24)-COUNTIF($F$12:F24,"FERIADO")-COUNTIF($F$12:F24,"RECESO"))</f>
        <v>13</v>
      </c>
      <c r="D24" s="12" t="s">
        <v>459</v>
      </c>
      <c r="E24" s="12" t="s">
        <v>20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4</v>
      </c>
      <c r="C25" s="12" t="n">
        <f aca="false">IF(OR(F25="FERIADO",F25="RECESO"),"—",ROWS($F$12:F25)-COUNTIF($F$12:F25,"FERIADO")-COUNTIF($F$12:F25,"RECESO"))</f>
        <v>14</v>
      </c>
      <c r="D25" s="12" t="s">
        <v>492</v>
      </c>
      <c r="E25" s="12" t="s">
        <v>417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4</v>
      </c>
      <c r="C26" s="12" t="n">
        <f aca="false">IF(OR(F26="FERIADO",F26="RECESO"),"—",ROWS($F$12:F26)-COUNTIF($F$12:F26,"FERIADO")-COUNTIF($F$12:F26,"RECESO"))</f>
        <v>15</v>
      </c>
      <c r="D26" s="12" t="s">
        <v>460</v>
      </c>
      <c r="E26" s="12" t="s">
        <v>25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4</v>
      </c>
      <c r="C27" s="12" t="n">
        <f aca="false">IF(OR(F27="FERIADO",F27="RECESO"),"—",ROWS($F$12:F27)-COUNTIF($F$12:F27,"FERIADO")-COUNTIF($F$12:F27,"RECESO"))</f>
        <v>16</v>
      </c>
      <c r="D27" s="12" t="s">
        <v>493</v>
      </c>
      <c r="E27" s="12" t="s">
        <v>419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9" t="n">
        <v>5</v>
      </c>
      <c r="C28" s="19" t="str">
        <f aca="false">IF(OR(F28="FERIADO",F28="RECESO"),"—",ROWS($F$12:F28)-COUNTIF($F$12:F28,"FERIADO")-COUNTIF($F$12:F28,"RECESO"))</f>
        <v>—</v>
      </c>
      <c r="D28" s="19" t="s">
        <v>281</v>
      </c>
      <c r="E28" s="19" t="s">
        <v>20</v>
      </c>
      <c r="F28" s="19" t="s">
        <v>80</v>
      </c>
      <c r="G28" s="20"/>
      <c r="H28" s="20"/>
      <c r="I28" s="20" t="s">
        <v>361</v>
      </c>
    </row>
    <row r="29" customFormat="false" ht="15" hidden="false" customHeight="true" outlineLevel="0" collapsed="false">
      <c r="B29" s="19" t="n">
        <v>5</v>
      </c>
      <c r="C29" s="19" t="str">
        <f aca="false">IF(OR(F29="FERIADO",F29="RECESO"),"—",ROWS($F$12:F29)-COUNTIF($F$12:F29,"FERIADO")-COUNTIF($F$12:F29,"RECESO"))</f>
        <v>—</v>
      </c>
      <c r="D29" s="19" t="s">
        <v>363</v>
      </c>
      <c r="E29" s="19" t="s">
        <v>417</v>
      </c>
      <c r="F29" s="19" t="s">
        <v>80</v>
      </c>
      <c r="G29" s="20"/>
      <c r="H29" s="20"/>
      <c r="I29" s="20" t="s">
        <v>361</v>
      </c>
    </row>
    <row r="30" customFormat="false" ht="15" hidden="false" customHeight="true" outlineLevel="0" collapsed="false">
      <c r="B30" s="12" t="n">
        <v>5</v>
      </c>
      <c r="C30" s="12" t="n">
        <f aca="false">IF(OR(F30="FERIADO",F30="RECESO"),"—",ROWS($F$12:F30)-COUNTIF($F$12:F30,"FERIADO")-COUNTIF($F$12:F30,"RECESO"))</f>
        <v>17</v>
      </c>
      <c r="D30" s="12" t="s">
        <v>461</v>
      </c>
      <c r="E30" s="12" t="s">
        <v>25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5</v>
      </c>
      <c r="C31" s="12" t="n">
        <f aca="false">IF(OR(F31="FERIADO",F31="RECESO"),"—",ROWS($F$12:F31)-COUNTIF($F$12:F31,"FERIADO")-COUNTIF($F$12:F31,"RECESO"))</f>
        <v>18</v>
      </c>
      <c r="D31" s="12" t="s">
        <v>494</v>
      </c>
      <c r="E31" s="12" t="s">
        <v>419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6</v>
      </c>
      <c r="C32" s="12" t="n">
        <f aca="false">IF(OR(F32="FERIADO",F32="RECESO"),"—",ROWS($F$12:F32)-COUNTIF($F$12:F32,"FERIADO")-COUNTIF($F$12:F32,"RECESO"))</f>
        <v>19</v>
      </c>
      <c r="D32" s="12" t="s">
        <v>462</v>
      </c>
      <c r="E32" s="12" t="s">
        <v>20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6</v>
      </c>
      <c r="C33" s="12" t="n">
        <f aca="false">IF(OR(F33="FERIADO",F33="RECESO"),"—",ROWS($F$12:F33)-COUNTIF($F$12:F33,"FERIADO")-COUNTIF($F$12:F33,"RECESO"))</f>
        <v>20</v>
      </c>
      <c r="D33" s="12" t="s">
        <v>495</v>
      </c>
      <c r="E33" s="12" t="s">
        <v>417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6</v>
      </c>
      <c r="C34" s="12" t="n">
        <f aca="false">IF(OR(F34="FERIADO",F34="RECESO"),"—",ROWS($F$12:F34)-COUNTIF($F$12:F34,"FERIADO")-COUNTIF($F$12:F34,"RECESO"))</f>
        <v>21</v>
      </c>
      <c r="D34" s="12" t="s">
        <v>463</v>
      </c>
      <c r="E34" s="12" t="s">
        <v>25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9" t="n">
        <v>6</v>
      </c>
      <c r="C35" s="19" t="str">
        <f aca="false">IF(OR(F35="FERIADO",F35="RECESO"),"—",ROWS($F$12:F35)-COUNTIF($F$12:F35,"FERIADO")-COUNTIF($F$12:F35,"RECESO"))</f>
        <v>—</v>
      </c>
      <c r="D35" s="19" t="s">
        <v>365</v>
      </c>
      <c r="E35" s="19" t="s">
        <v>419</v>
      </c>
      <c r="F35" s="19" t="s">
        <v>80</v>
      </c>
      <c r="G35" s="20"/>
      <c r="H35" s="20"/>
      <c r="I35" s="20" t="s">
        <v>364</v>
      </c>
    </row>
    <row r="36" customFormat="false" ht="15" hidden="false" customHeight="true" outlineLevel="0" collapsed="false">
      <c r="B36" s="12" t="n">
        <v>7</v>
      </c>
      <c r="C36" s="12" t="n">
        <f aca="false">IF(OR(F36="FERIADO",F36="RECESO"),"—",ROWS($F$12:F36)-COUNTIF($F$12:F36,"FERIADO")-COUNTIF($F$12:F36,"RECESO"))</f>
        <v>22</v>
      </c>
      <c r="D36" s="12" t="s">
        <v>464</v>
      </c>
      <c r="E36" s="12" t="s">
        <v>20</v>
      </c>
      <c r="F36" s="12" t="s">
        <v>21</v>
      </c>
      <c r="G36" s="14"/>
      <c r="H36" s="14"/>
      <c r="I36" s="14"/>
    </row>
    <row r="37" customFormat="false" ht="15" hidden="false" customHeight="true" outlineLevel="0" collapsed="false">
      <c r="B37" s="12" t="n">
        <v>7</v>
      </c>
      <c r="C37" s="12" t="n">
        <f aca="false">IF(OR(F37="FERIADO",F37="RECESO"),"—",ROWS($F$12:F37)-COUNTIF($F$12:F37,"FERIADO")-COUNTIF($F$12:F37,"RECESO"))</f>
        <v>23</v>
      </c>
      <c r="D37" s="12" t="s">
        <v>496</v>
      </c>
      <c r="E37" s="12" t="s">
        <v>417</v>
      </c>
      <c r="F37" s="12" t="s">
        <v>21</v>
      </c>
      <c r="G37" s="14"/>
      <c r="H37" s="14"/>
      <c r="I37" s="14"/>
    </row>
    <row r="38" customFormat="false" ht="15" hidden="false" customHeight="true" outlineLevel="0" collapsed="false">
      <c r="B38" s="12" t="n">
        <v>7</v>
      </c>
      <c r="C38" s="12" t="n">
        <f aca="false">IF(OR(F38="FERIADO",F38="RECESO"),"—",ROWS($F$12:F38)-COUNTIF($F$12:F38,"FERIADO")-COUNTIF($F$12:F38,"RECESO"))</f>
        <v>24</v>
      </c>
      <c r="D38" s="12" t="s">
        <v>465</v>
      </c>
      <c r="E38" s="12" t="s">
        <v>25</v>
      </c>
      <c r="F38" s="12" t="s">
        <v>21</v>
      </c>
      <c r="G38" s="14"/>
      <c r="H38" s="14"/>
      <c r="I38" s="14"/>
    </row>
    <row r="39" customFormat="false" ht="15" hidden="false" customHeight="true" outlineLevel="0" collapsed="false">
      <c r="B39" s="12" t="n">
        <v>7</v>
      </c>
      <c r="C39" s="12" t="n">
        <f aca="false">IF(OR(F39="FERIADO",F39="RECESO"),"—",ROWS($F$12:F39)-COUNTIF($F$12:F39,"FERIADO")-COUNTIF($F$12:F39,"RECESO"))</f>
        <v>25</v>
      </c>
      <c r="D39" s="12" t="s">
        <v>497</v>
      </c>
      <c r="E39" s="12" t="s">
        <v>419</v>
      </c>
      <c r="F39" s="12" t="s">
        <v>21</v>
      </c>
      <c r="G39" s="14"/>
      <c r="H39" s="14"/>
      <c r="I39" s="14"/>
    </row>
    <row r="40" customFormat="false" ht="15" hidden="false" customHeight="true" outlineLevel="0" collapsed="false">
      <c r="B40" s="21" t="n">
        <v>8</v>
      </c>
      <c r="C40" s="21" t="n">
        <f aca="false">IF(OR(F40="FERIADO",F40="RECESO"),"—",ROWS($F$12:F40)-COUNTIF($F$12:F40,"FERIADO")-COUNTIF($F$12:F40,"RECESO"))</f>
        <v>26</v>
      </c>
      <c r="D40" s="21" t="s">
        <v>466</v>
      </c>
      <c r="E40" s="21" t="s">
        <v>20</v>
      </c>
      <c r="F40" s="21" t="s">
        <v>21</v>
      </c>
      <c r="G40" s="23"/>
      <c r="H40" s="23"/>
      <c r="I40" s="23" t="s">
        <v>564</v>
      </c>
    </row>
    <row r="41" customFormat="false" ht="15" hidden="false" customHeight="true" outlineLevel="0" collapsed="false">
      <c r="B41" s="21" t="n">
        <v>8</v>
      </c>
      <c r="C41" s="21" t="n">
        <f aca="false">IF(OR(F41="FERIADO",F41="RECESO"),"—",ROWS($F$12:F41)-COUNTIF($F$12:F41,"FERIADO")-COUNTIF($F$12:F41,"RECESO"))</f>
        <v>27</v>
      </c>
      <c r="D41" s="21" t="s">
        <v>498</v>
      </c>
      <c r="E41" s="21" t="s">
        <v>417</v>
      </c>
      <c r="F41" s="21" t="s">
        <v>21</v>
      </c>
      <c r="G41" s="23"/>
      <c r="H41" s="23"/>
      <c r="I41" s="23" t="s">
        <v>564</v>
      </c>
    </row>
    <row r="42" customFormat="false" ht="15" hidden="false" customHeight="true" outlineLevel="0" collapsed="false">
      <c r="B42" s="21" t="n">
        <v>8</v>
      </c>
      <c r="C42" s="21" t="n">
        <f aca="false">IF(OR(F42="FERIADO",F42="RECESO"),"—",ROWS($F$12:F42)-COUNTIF($F$12:F42,"FERIADO")-COUNTIF($F$12:F42,"RECESO"))</f>
        <v>28</v>
      </c>
      <c r="D42" s="21" t="s">
        <v>467</v>
      </c>
      <c r="E42" s="21" t="s">
        <v>25</v>
      </c>
      <c r="F42" s="21" t="s">
        <v>21</v>
      </c>
      <c r="G42" s="23"/>
      <c r="H42" s="23"/>
      <c r="I42" s="23" t="s">
        <v>564</v>
      </c>
    </row>
    <row r="43" customFormat="false" ht="23.25" hidden="false" customHeight="true" outlineLevel="0" collapsed="false">
      <c r="B43" s="21" t="n">
        <v>8</v>
      </c>
      <c r="C43" s="21" t="n">
        <f aca="false">IF(OR(F43="FERIADO",F43="RECESO"),"—",ROWS($F$12:F43)-COUNTIF($F$12:F43,"FERIADO")-COUNTIF($F$12:F43,"RECESO"))</f>
        <v>29</v>
      </c>
      <c r="D43" s="21" t="s">
        <v>499</v>
      </c>
      <c r="E43" s="21" t="s">
        <v>419</v>
      </c>
      <c r="F43" s="24" t="s">
        <v>21</v>
      </c>
      <c r="G43" s="23"/>
      <c r="H43" s="23"/>
      <c r="I43" s="23" t="s">
        <v>565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406</v>
      </c>
      <c r="K2" s="4" t="s">
        <v>2</v>
      </c>
    </row>
    <row r="3" customFormat="false" ht="15" hidden="false" customHeight="true" outlineLevel="0" collapsed="false">
      <c r="B3" s="5" t="s">
        <v>581</v>
      </c>
      <c r="K3" s="6" t="s">
        <v>4</v>
      </c>
      <c r="L3" s="7" t="n">
        <f aca="false">COUNTIF(F12:F43,"Clase")</f>
        <v>32</v>
      </c>
    </row>
    <row r="4" customFormat="false" ht="15" hidden="false" customHeight="true" outlineLevel="0" collapsed="false">
      <c r="B4" s="8" t="s">
        <v>582</v>
      </c>
      <c r="K4" s="6" t="s">
        <v>6</v>
      </c>
      <c r="L4" s="7" t="n">
        <f aca="false">COUNTIF(F12:F43,"Asincrónico")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COUNTIF(F12:F43,"FERIADO")+COUNTIF(F12:F43,"RECESO")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MAX(B12:B43)</f>
        <v>8</v>
      </c>
    </row>
    <row r="7" customFormat="false" ht="15" hidden="false" customHeight="true" outlineLevel="0" collapsed="false">
      <c r="K7" s="6" t="s">
        <v>9</v>
      </c>
      <c r="L7" s="9" t="str">
        <f aca="false">"03-may-2027 al 06-may-2027"</f>
        <v>03-may-2027 al 06-may-2027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284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502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503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469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583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503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584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470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585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504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471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505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472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506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473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507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4</v>
      </c>
      <c r="C24" s="12" t="n">
        <f aca="false">IF(OR(F24="FERIADO",F24="RECESO"),"—",ROWS($F$12:F24)-COUNTIF($F$12:F24,"FERIADO")-COUNTIF($F$12:F24,"RECESO"))</f>
        <v>13</v>
      </c>
      <c r="D24" s="12" t="s">
        <v>474</v>
      </c>
      <c r="E24" s="12" t="s">
        <v>20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4</v>
      </c>
      <c r="C25" s="12" t="n">
        <f aca="false">IF(OR(F25="FERIADO",F25="RECESO"),"—",ROWS($F$12:F25)-COUNTIF($F$12:F25,"FERIADO")-COUNTIF($F$12:F25,"RECESO"))</f>
        <v>14</v>
      </c>
      <c r="D25" s="12" t="s">
        <v>508</v>
      </c>
      <c r="E25" s="12" t="s">
        <v>417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4</v>
      </c>
      <c r="C26" s="12" t="n">
        <f aca="false">IF(OR(F26="FERIADO",F26="RECESO"),"—",ROWS($F$12:F26)-COUNTIF($F$12:F26,"FERIADO")-COUNTIF($F$12:F26,"RECESO"))</f>
        <v>15</v>
      </c>
      <c r="D26" s="12" t="s">
        <v>475</v>
      </c>
      <c r="E26" s="12" t="s">
        <v>25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4</v>
      </c>
      <c r="C27" s="12" t="n">
        <f aca="false">IF(OR(F27="FERIADO",F27="RECESO"),"—",ROWS($F$12:F27)-COUNTIF($F$12:F27,"FERIADO")-COUNTIF($F$12:F27,"RECESO"))</f>
        <v>16</v>
      </c>
      <c r="D27" s="12" t="s">
        <v>509</v>
      </c>
      <c r="E27" s="12" t="s">
        <v>419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2" t="n">
        <v>5</v>
      </c>
      <c r="C28" s="12" t="n">
        <f aca="false">IF(OR(F28="FERIADO",F28="RECESO"),"—",ROWS($F$12:F28)-COUNTIF($F$12:F28,"FERIADO")-COUNTIF($F$12:F28,"RECESO"))</f>
        <v>17</v>
      </c>
      <c r="D28" s="12" t="s">
        <v>287</v>
      </c>
      <c r="E28" s="12" t="s">
        <v>20</v>
      </c>
      <c r="F28" s="12" t="s">
        <v>21</v>
      </c>
      <c r="G28" s="14"/>
      <c r="H28" s="14"/>
      <c r="I28" s="14"/>
    </row>
    <row r="29" customFormat="false" ht="15" hidden="false" customHeight="true" outlineLevel="0" collapsed="false">
      <c r="B29" s="12" t="n">
        <v>5</v>
      </c>
      <c r="C29" s="12" t="n">
        <f aca="false">IF(OR(F29="FERIADO",F29="RECESO"),"—",ROWS($F$12:F29)-COUNTIF($F$12:F29,"FERIADO")-COUNTIF($F$12:F29,"RECESO"))</f>
        <v>18</v>
      </c>
      <c r="D29" s="12" t="s">
        <v>510</v>
      </c>
      <c r="E29" s="12" t="s">
        <v>417</v>
      </c>
      <c r="F29" s="12" t="s">
        <v>21</v>
      </c>
      <c r="G29" s="14"/>
      <c r="H29" s="14"/>
      <c r="I29" s="14"/>
    </row>
    <row r="30" customFormat="false" ht="15" hidden="false" customHeight="true" outlineLevel="0" collapsed="false">
      <c r="B30" s="12" t="n">
        <v>5</v>
      </c>
      <c r="C30" s="12" t="n">
        <f aca="false">IF(OR(F30="FERIADO",F30="RECESO"),"—",ROWS($F$12:F30)-COUNTIF($F$12:F30,"FERIADO")-COUNTIF($F$12:F30,"RECESO"))</f>
        <v>19</v>
      </c>
      <c r="D30" s="12" t="s">
        <v>476</v>
      </c>
      <c r="E30" s="12" t="s">
        <v>25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5</v>
      </c>
      <c r="C31" s="12" t="n">
        <f aca="false">IF(OR(F31="FERIADO",F31="RECESO"),"—",ROWS($F$12:F31)-COUNTIF($F$12:F31,"FERIADO")-COUNTIF($F$12:F31,"RECESO"))</f>
        <v>20</v>
      </c>
      <c r="D31" s="12" t="s">
        <v>511</v>
      </c>
      <c r="E31" s="12" t="s">
        <v>419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6</v>
      </c>
      <c r="C32" s="12" t="n">
        <f aca="false">IF(OR(F32="FERIADO",F32="RECESO"),"—",ROWS($F$12:F32)-COUNTIF($F$12:F32,"FERIADO")-COUNTIF($F$12:F32,"RECESO"))</f>
        <v>21</v>
      </c>
      <c r="D32" s="12" t="s">
        <v>477</v>
      </c>
      <c r="E32" s="12" t="s">
        <v>20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6</v>
      </c>
      <c r="C33" s="12" t="n">
        <f aca="false">IF(OR(F33="FERIADO",F33="RECESO"),"—",ROWS($F$12:F33)-COUNTIF($F$12:F33,"FERIADO")-COUNTIF($F$12:F33,"RECESO"))</f>
        <v>22</v>
      </c>
      <c r="D33" s="12" t="s">
        <v>512</v>
      </c>
      <c r="E33" s="12" t="s">
        <v>417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6</v>
      </c>
      <c r="C34" s="12" t="n">
        <f aca="false">IF(OR(F34="FERIADO",F34="RECESO"),"—",ROWS($F$12:F34)-COUNTIF($F$12:F34,"FERIADO")-COUNTIF($F$12:F34,"RECESO"))</f>
        <v>23</v>
      </c>
      <c r="D34" s="12" t="s">
        <v>478</v>
      </c>
      <c r="E34" s="12" t="s">
        <v>25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2" t="n">
        <v>6</v>
      </c>
      <c r="C35" s="12" t="n">
        <f aca="false">IF(OR(F35="FERIADO",F35="RECESO"),"—",ROWS($F$12:F35)-COUNTIF($F$12:F35,"FERIADO")-COUNTIF($F$12:F35,"RECESO"))</f>
        <v>24</v>
      </c>
      <c r="D35" s="12" t="s">
        <v>513</v>
      </c>
      <c r="E35" s="12" t="s">
        <v>419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12" t="n">
        <v>7</v>
      </c>
      <c r="C36" s="12" t="n">
        <f aca="false">IF(OR(F36="FERIADO",F36="RECESO"),"—",ROWS($F$12:F36)-COUNTIF($F$12:F36,"FERIADO")-COUNTIF($F$12:F36,"RECESO"))</f>
        <v>25</v>
      </c>
      <c r="D36" s="12" t="s">
        <v>479</v>
      </c>
      <c r="E36" s="12" t="s">
        <v>20</v>
      </c>
      <c r="F36" s="12" t="s">
        <v>21</v>
      </c>
      <c r="G36" s="14"/>
      <c r="H36" s="14"/>
      <c r="I36" s="14"/>
    </row>
    <row r="37" customFormat="false" ht="15" hidden="false" customHeight="true" outlineLevel="0" collapsed="false">
      <c r="B37" s="12" t="n">
        <v>7</v>
      </c>
      <c r="C37" s="12" t="n">
        <f aca="false">IF(OR(F37="FERIADO",F37="RECESO"),"—",ROWS($F$12:F37)-COUNTIF($F$12:F37,"FERIADO")-COUNTIF($F$12:F37,"RECESO"))</f>
        <v>26</v>
      </c>
      <c r="D37" s="12" t="s">
        <v>514</v>
      </c>
      <c r="E37" s="12" t="s">
        <v>417</v>
      </c>
      <c r="F37" s="12" t="s">
        <v>21</v>
      </c>
      <c r="G37" s="14"/>
      <c r="H37" s="14"/>
      <c r="I37" s="14"/>
    </row>
    <row r="38" customFormat="false" ht="15" hidden="false" customHeight="true" outlineLevel="0" collapsed="false">
      <c r="B38" s="12" t="n">
        <v>7</v>
      </c>
      <c r="C38" s="12" t="n">
        <f aca="false">IF(OR(F38="FERIADO",F38="RECESO"),"—",ROWS($F$12:F38)-COUNTIF($F$12:F38,"FERIADO")-COUNTIF($F$12:F38,"RECESO"))</f>
        <v>27</v>
      </c>
      <c r="D38" s="12" t="s">
        <v>480</v>
      </c>
      <c r="E38" s="12" t="s">
        <v>25</v>
      </c>
      <c r="F38" s="12" t="s">
        <v>21</v>
      </c>
      <c r="G38" s="14"/>
      <c r="H38" s="14"/>
      <c r="I38" s="14"/>
    </row>
    <row r="39" customFormat="false" ht="15" hidden="false" customHeight="true" outlineLevel="0" collapsed="false">
      <c r="B39" s="12" t="n">
        <v>7</v>
      </c>
      <c r="C39" s="12" t="n">
        <f aca="false">IF(OR(F39="FERIADO",F39="RECESO"),"—",ROWS($F$12:F39)-COUNTIF($F$12:F39,"FERIADO")-COUNTIF($F$12:F39,"RECESO"))</f>
        <v>28</v>
      </c>
      <c r="D39" s="12" t="s">
        <v>515</v>
      </c>
      <c r="E39" s="12" t="s">
        <v>419</v>
      </c>
      <c r="F39" s="12" t="s">
        <v>21</v>
      </c>
      <c r="G39" s="14"/>
      <c r="H39" s="14"/>
      <c r="I39" s="14"/>
    </row>
    <row r="40" customFormat="false" ht="15" hidden="false" customHeight="true" outlineLevel="0" collapsed="false">
      <c r="B40" s="21" t="n">
        <v>8</v>
      </c>
      <c r="C40" s="21" t="n">
        <f aca="false">IF(OR(F40="FERIADO",F40="RECESO"),"—",ROWS($F$12:F40)-COUNTIF($F$12:F40,"FERIADO")-COUNTIF($F$12:F40,"RECESO"))</f>
        <v>29</v>
      </c>
      <c r="D40" s="21" t="s">
        <v>481</v>
      </c>
      <c r="E40" s="21" t="s">
        <v>20</v>
      </c>
      <c r="F40" s="21" t="s">
        <v>21</v>
      </c>
      <c r="G40" s="23"/>
      <c r="H40" s="23"/>
      <c r="I40" s="23" t="s">
        <v>482</v>
      </c>
    </row>
    <row r="41" customFormat="false" ht="15" hidden="false" customHeight="true" outlineLevel="0" collapsed="false">
      <c r="B41" s="21" t="n">
        <v>8</v>
      </c>
      <c r="C41" s="21" t="n">
        <f aca="false">IF(OR(F41="FERIADO",F41="RECESO"),"—",ROWS($F$12:F41)-COUNTIF($F$12:F41,"FERIADO")-COUNTIF($F$12:F41,"RECESO"))</f>
        <v>30</v>
      </c>
      <c r="D41" s="21" t="s">
        <v>516</v>
      </c>
      <c r="E41" s="21" t="s">
        <v>417</v>
      </c>
      <c r="F41" s="21" t="s">
        <v>21</v>
      </c>
      <c r="G41" s="23"/>
      <c r="H41" s="23"/>
      <c r="I41" s="23" t="s">
        <v>482</v>
      </c>
    </row>
    <row r="42" customFormat="false" ht="15" hidden="false" customHeight="true" outlineLevel="0" collapsed="false">
      <c r="B42" s="21" t="n">
        <v>8</v>
      </c>
      <c r="C42" s="21" t="n">
        <f aca="false">IF(OR(F42="FERIADO",F42="RECESO"),"—",ROWS($F$12:F42)-COUNTIF($F$12:F42,"FERIADO")-COUNTIF($F$12:F42,"RECESO"))</f>
        <v>31</v>
      </c>
      <c r="D42" s="21" t="s">
        <v>483</v>
      </c>
      <c r="E42" s="21" t="s">
        <v>25</v>
      </c>
      <c r="F42" s="21" t="s">
        <v>21</v>
      </c>
      <c r="G42" s="23"/>
      <c r="H42" s="23"/>
      <c r="I42" s="23" t="s">
        <v>482</v>
      </c>
    </row>
    <row r="43" customFormat="false" ht="23.25" hidden="false" customHeight="true" outlineLevel="0" collapsed="false">
      <c r="B43" s="21" t="n">
        <v>8</v>
      </c>
      <c r="C43" s="21" t="n">
        <f aca="false">IF(OR(F43="FERIADO",F43="RECESO"),"—",ROWS($F$12:F43)-COUNTIF($F$12:F43,"FERIADO")-COUNTIF($F$12:F43,"RECESO"))</f>
        <v>32</v>
      </c>
      <c r="D43" s="21" t="s">
        <v>517</v>
      </c>
      <c r="E43" s="21" t="s">
        <v>419</v>
      </c>
      <c r="F43" s="24" t="s">
        <v>21</v>
      </c>
      <c r="G43" s="23"/>
      <c r="H43" s="23"/>
      <c r="I43" s="23" t="s">
        <v>484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407</v>
      </c>
      <c r="K2" s="4" t="s">
        <v>2</v>
      </c>
    </row>
    <row r="3" customFormat="false" ht="15" hidden="false" customHeight="true" outlineLevel="0" collapsed="false">
      <c r="B3" s="5" t="s">
        <v>586</v>
      </c>
      <c r="K3" s="6" t="s">
        <v>4</v>
      </c>
      <c r="L3" s="7" t="n">
        <f aca="false">COUNTIF(F12:F27,"Clase")</f>
        <v>15</v>
      </c>
    </row>
    <row r="4" customFormat="false" ht="15" hidden="false" customHeight="true" outlineLevel="0" collapsed="false">
      <c r="B4" s="8" t="s">
        <v>587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1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"31-may-2027 al 03-jun-2027"</f>
        <v>31-may-2027 al 03-jun-2027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294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588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589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590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591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589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592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576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593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585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594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595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9" t="n">
        <v>3</v>
      </c>
      <c r="C20" s="19" t="str">
        <f aca="false">IF(OR(F20="FERIADO",F20="RECESO"),"—",ROWS($F$12:F20)-COUNTIF($F$12:F20,"FERIADO")-COUNTIF($F$12:F20,"RECESO"))</f>
        <v>—</v>
      </c>
      <c r="D20" s="19" t="s">
        <v>377</v>
      </c>
      <c r="E20" s="19" t="s">
        <v>20</v>
      </c>
      <c r="F20" s="19" t="s">
        <v>80</v>
      </c>
      <c r="G20" s="20"/>
      <c r="H20" s="20"/>
      <c r="I20" s="20" t="s">
        <v>375</v>
      </c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9</v>
      </c>
      <c r="D21" s="12" t="s">
        <v>303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10</v>
      </c>
      <c r="D22" s="12" t="s">
        <v>596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11</v>
      </c>
      <c r="D23" s="12" t="s">
        <v>597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12</v>
      </c>
      <c r="D24" s="21" t="s">
        <v>598</v>
      </c>
      <c r="E24" s="21" t="s">
        <v>20</v>
      </c>
      <c r="F24" s="21" t="s">
        <v>21</v>
      </c>
      <c r="G24" s="23"/>
      <c r="H24" s="23"/>
      <c r="I24" s="23" t="s">
        <v>599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13</v>
      </c>
      <c r="D25" s="21" t="s">
        <v>600</v>
      </c>
      <c r="E25" s="21" t="s">
        <v>417</v>
      </c>
      <c r="F25" s="21" t="s">
        <v>21</v>
      </c>
      <c r="G25" s="23"/>
      <c r="H25" s="23"/>
      <c r="I25" s="23" t="s">
        <v>599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14</v>
      </c>
      <c r="D26" s="21" t="s">
        <v>601</v>
      </c>
      <c r="E26" s="21" t="s">
        <v>25</v>
      </c>
      <c r="F26" s="21" t="s">
        <v>21</v>
      </c>
      <c r="G26" s="23"/>
      <c r="H26" s="23"/>
      <c r="I26" s="23" t="s">
        <v>599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15</v>
      </c>
      <c r="D27" s="21" t="s">
        <v>602</v>
      </c>
      <c r="E27" s="21" t="s">
        <v>419</v>
      </c>
      <c r="F27" s="24" t="s">
        <v>21</v>
      </c>
      <c r="G27" s="23"/>
      <c r="H27" s="23"/>
      <c r="I27" s="23" t="s">
        <v>603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408</v>
      </c>
      <c r="K2" s="4" t="s">
        <v>2</v>
      </c>
    </row>
    <row r="3" customFormat="false" ht="15" hidden="false" customHeight="true" outlineLevel="0" collapsed="false">
      <c r="B3" s="5" t="s">
        <v>604</v>
      </c>
      <c r="K3" s="6" t="s">
        <v>4</v>
      </c>
      <c r="L3" s="7" t="n">
        <f aca="false">COUNTIF(F12:F27,"Clase")</f>
        <v>16</v>
      </c>
    </row>
    <row r="4" customFormat="false" ht="15" hidden="false" customHeight="true" outlineLevel="0" collapsed="false">
      <c r="B4" s="8" t="s">
        <v>605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"28-jun-2027 al 01-jul-2027"</f>
        <v>28-jun-2027 al 01-jul-2027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297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606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607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608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609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607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610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593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611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612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613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614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615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616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617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618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13</v>
      </c>
      <c r="D24" s="21" t="s">
        <v>308</v>
      </c>
      <c r="E24" s="21" t="s">
        <v>20</v>
      </c>
      <c r="F24" s="21" t="s">
        <v>21</v>
      </c>
      <c r="G24" s="23"/>
      <c r="H24" s="23"/>
      <c r="I24" s="23" t="s">
        <v>619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14</v>
      </c>
      <c r="D25" s="21" t="s">
        <v>620</v>
      </c>
      <c r="E25" s="21" t="s">
        <v>417</v>
      </c>
      <c r="F25" s="21" t="s">
        <v>21</v>
      </c>
      <c r="G25" s="23"/>
      <c r="H25" s="23"/>
      <c r="I25" s="23" t="s">
        <v>619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15</v>
      </c>
      <c r="D26" s="21" t="s">
        <v>621</v>
      </c>
      <c r="E26" s="21" t="s">
        <v>25</v>
      </c>
      <c r="F26" s="21" t="s">
        <v>21</v>
      </c>
      <c r="G26" s="23"/>
      <c r="H26" s="23"/>
      <c r="I26" s="23" t="s">
        <v>619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16</v>
      </c>
      <c r="D27" s="21" t="s">
        <v>622</v>
      </c>
      <c r="E27" s="21" t="s">
        <v>419</v>
      </c>
      <c r="F27" s="24" t="s">
        <v>21</v>
      </c>
      <c r="G27" s="23"/>
      <c r="H27" s="23"/>
      <c r="I27" s="23" t="s">
        <v>623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409</v>
      </c>
      <c r="K2" s="4" t="s">
        <v>2</v>
      </c>
    </row>
    <row r="3" customFormat="false" ht="15" hidden="false" customHeight="true" outlineLevel="0" collapsed="false">
      <c r="B3" s="5" t="s">
        <v>624</v>
      </c>
      <c r="K3" s="6" t="s">
        <v>4</v>
      </c>
      <c r="L3" s="7" t="n">
        <f aca="false">COUNTIF(F12:F27,"Clase")</f>
        <v>16</v>
      </c>
    </row>
    <row r="4" customFormat="false" ht="15" hidden="false" customHeight="true" outlineLevel="0" collapsed="false">
      <c r="B4" s="8" t="s">
        <v>625</v>
      </c>
      <c r="K4" s="6" t="s">
        <v>6</v>
      </c>
      <c r="L4" s="7" t="n">
        <f aca="false">COUNTIF(F12:F27,"Asincrónico")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COUNTIF(F12:F27,"FERIADO")+COUNTIF(F12:F27,"RECESO")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MAX(B12:B27)</f>
        <v>4</v>
      </c>
    </row>
    <row r="7" customFormat="false" ht="15" hidden="false" customHeight="true" outlineLevel="0" collapsed="false">
      <c r="K7" s="6" t="s">
        <v>9</v>
      </c>
      <c r="L7" s="9" t="str">
        <f aca="false">"26-jul-2027 al 29-jul-2027"</f>
        <v>26-jul-2027 al 29-jul-2027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300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626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627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628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629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627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630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611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379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631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632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633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634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635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636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637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21" t="n">
        <v>4</v>
      </c>
      <c r="C24" s="21" t="n">
        <f aca="false">IF(OR(F24="FERIADO",F24="RECESO"),"—",ROWS($F$12:F24)-COUNTIF($F$12:F24,"FERIADO")-COUNTIF($F$12:F24,"RECESO"))</f>
        <v>13</v>
      </c>
      <c r="D24" s="21" t="s">
        <v>638</v>
      </c>
      <c r="E24" s="21" t="s">
        <v>20</v>
      </c>
      <c r="F24" s="21" t="s">
        <v>21</v>
      </c>
      <c r="G24" s="23"/>
      <c r="H24" s="23"/>
      <c r="I24" s="23" t="s">
        <v>639</v>
      </c>
    </row>
    <row r="25" customFormat="false" ht="15" hidden="false" customHeight="true" outlineLevel="0" collapsed="false">
      <c r="B25" s="21" t="n">
        <v>4</v>
      </c>
      <c r="C25" s="21" t="n">
        <f aca="false">IF(OR(F25="FERIADO",F25="RECESO"),"—",ROWS($F$12:F25)-COUNTIF($F$12:F25,"FERIADO")-COUNTIF($F$12:F25,"RECESO"))</f>
        <v>14</v>
      </c>
      <c r="D25" s="21" t="s">
        <v>640</v>
      </c>
      <c r="E25" s="21" t="s">
        <v>417</v>
      </c>
      <c r="F25" s="21" t="s">
        <v>21</v>
      </c>
      <c r="G25" s="23"/>
      <c r="H25" s="23"/>
      <c r="I25" s="23" t="s">
        <v>639</v>
      </c>
    </row>
    <row r="26" customFormat="false" ht="15" hidden="false" customHeight="true" outlineLevel="0" collapsed="false">
      <c r="B26" s="21" t="n">
        <v>4</v>
      </c>
      <c r="C26" s="21" t="n">
        <f aca="false">IF(OR(F26="FERIADO",F26="RECESO"),"—",ROWS($F$12:F26)-COUNTIF($F$12:F26,"FERIADO")-COUNTIF($F$12:F26,"RECESO"))</f>
        <v>15</v>
      </c>
      <c r="D26" s="21" t="s">
        <v>641</v>
      </c>
      <c r="E26" s="21" t="s">
        <v>25</v>
      </c>
      <c r="F26" s="21" t="s">
        <v>21</v>
      </c>
      <c r="G26" s="23"/>
      <c r="H26" s="23"/>
      <c r="I26" s="23" t="s">
        <v>639</v>
      </c>
    </row>
    <row r="27" customFormat="false" ht="23.25" hidden="false" customHeight="true" outlineLevel="0" collapsed="false">
      <c r="B27" s="21" t="n">
        <v>4</v>
      </c>
      <c r="C27" s="21" t="n">
        <f aca="false">IF(OR(F27="FERIADO",F27="RECESO"),"—",ROWS($F$12:F27)-COUNTIF($F$12:F27,"FERIADO")-COUNTIF($F$12:F27,"RECESO"))</f>
        <v>16</v>
      </c>
      <c r="D27" s="21" t="s">
        <v>642</v>
      </c>
      <c r="E27" s="21" t="s">
        <v>419</v>
      </c>
      <c r="F27" s="24" t="s">
        <v>21</v>
      </c>
      <c r="G27" s="23"/>
      <c r="H27" s="23"/>
      <c r="I27" s="23" t="s">
        <v>643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410</v>
      </c>
      <c r="K2" s="4" t="s">
        <v>2</v>
      </c>
    </row>
    <row r="3" customFormat="false" ht="15" hidden="false" customHeight="true" outlineLevel="0" collapsed="false">
      <c r="B3" s="5" t="s">
        <v>644</v>
      </c>
      <c r="K3" s="6" t="s">
        <v>4</v>
      </c>
      <c r="L3" s="7" t="n">
        <f aca="false">COUNTIF(F12:F46,"Clase")</f>
        <v>32</v>
      </c>
    </row>
    <row r="4" customFormat="false" ht="15" hidden="false" customHeight="true" outlineLevel="0" collapsed="false">
      <c r="B4" s="8" t="s">
        <v>645</v>
      </c>
      <c r="K4" s="6" t="s">
        <v>6</v>
      </c>
      <c r="L4" s="7" t="n">
        <f aca="false">COUNTIF(F12:F46,"Asincrónico")</f>
        <v>3</v>
      </c>
    </row>
    <row r="5" customFormat="false" ht="15" hidden="false" customHeight="true" outlineLevel="0" collapsed="false">
      <c r="K5" s="6" t="s">
        <v>7</v>
      </c>
      <c r="L5" s="7" t="n">
        <f aca="false">COUNTIF(F12:F46,"FERIADO")+COUNTIF(F12:F46,"RECESO")</f>
        <v>0</v>
      </c>
    </row>
    <row r="6" customFormat="false" ht="15" hidden="false" customHeight="true" outlineLevel="0" collapsed="false">
      <c r="K6" s="6" t="s">
        <v>8</v>
      </c>
      <c r="L6" s="7" t="n">
        <f aca="false">MAX(B12:B46)</f>
        <v>9</v>
      </c>
    </row>
    <row r="7" customFormat="false" ht="15" hidden="false" customHeight="true" outlineLevel="0" collapsed="false">
      <c r="K7" s="6" t="s">
        <v>9</v>
      </c>
      <c r="L7" s="9" t="str">
        <f aca="false">"19-jul-2027 al 22-jul-2027"</f>
        <v>19-jul-2027 al 22-jul-2027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303</v>
      </c>
      <c r="E12" s="12" t="s">
        <v>417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596</v>
      </c>
      <c r="E13" s="12" t="s">
        <v>25</v>
      </c>
      <c r="F13" s="12" t="s">
        <v>21</v>
      </c>
      <c r="G13" s="14"/>
      <c r="H13" s="14"/>
      <c r="I13" s="14"/>
      <c r="K13" s="6" t="s">
        <v>521</v>
      </c>
      <c r="L13" s="9" t="s">
        <v>646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597</v>
      </c>
      <c r="E14" s="12" t="s">
        <v>419</v>
      </c>
      <c r="F14" s="12" t="s">
        <v>21</v>
      </c>
      <c r="G14" s="14"/>
      <c r="H14" s="14"/>
      <c r="I14" s="14"/>
      <c r="K14" s="6" t="s">
        <v>522</v>
      </c>
      <c r="L14" s="9" t="s">
        <v>647</v>
      </c>
    </row>
    <row r="15" customFormat="false" ht="15" hidden="false" customHeight="true" outlineLevel="0" collapsed="false">
      <c r="B15" s="12" t="n">
        <v>2</v>
      </c>
      <c r="C15" s="12" t="n">
        <f aca="false">IF(OR(F15="FERIADO",F15="RECESO"),"—",ROWS($F$12:F15)-COUNTIF($F$12:F15,"FERIADO")-COUNTIF($F$12:F15,"RECESO"))</f>
        <v>4</v>
      </c>
      <c r="D15" s="12" t="s">
        <v>598</v>
      </c>
      <c r="E15" s="12" t="s">
        <v>20</v>
      </c>
      <c r="F15" s="12" t="s">
        <v>21</v>
      </c>
      <c r="G15" s="14"/>
      <c r="H15" s="14"/>
      <c r="I15" s="14"/>
      <c r="K15" s="6" t="s">
        <v>9</v>
      </c>
      <c r="L15" s="9" t="s">
        <v>648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600</v>
      </c>
      <c r="E16" s="12" t="s">
        <v>417</v>
      </c>
      <c r="F16" s="12" t="s">
        <v>21</v>
      </c>
      <c r="G16" s="14"/>
      <c r="H16" s="14"/>
      <c r="I16" s="14"/>
      <c r="K16" s="6" t="s">
        <v>525</v>
      </c>
      <c r="L16" s="9" t="s">
        <v>649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601</v>
      </c>
      <c r="E17" s="12" t="s">
        <v>25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602</v>
      </c>
      <c r="E18" s="12" t="s">
        <v>419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3</v>
      </c>
      <c r="C19" s="12" t="n">
        <f aca="false">IF(OR(F19="FERIADO",F19="RECESO"),"—",ROWS($F$12:F19)-COUNTIF($F$12:F19,"FERIADO")-COUNTIF($F$12:F19,"RECESO"))</f>
        <v>8</v>
      </c>
      <c r="D19" s="12" t="s">
        <v>297</v>
      </c>
      <c r="E19" s="12" t="s">
        <v>20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606</v>
      </c>
      <c r="E20" s="12" t="s">
        <v>417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608</v>
      </c>
      <c r="E21" s="12" t="s">
        <v>25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607</v>
      </c>
      <c r="E22" s="12" t="s">
        <v>419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4</v>
      </c>
      <c r="C23" s="12" t="n">
        <f aca="false">IF(OR(F23="FERIADO",F23="RECESO"),"—",ROWS($F$12:F23)-COUNTIF($F$12:F23,"FERIADO")-COUNTIF($F$12:F23,"RECESO"))</f>
        <v>12</v>
      </c>
      <c r="D23" s="12" t="s">
        <v>593</v>
      </c>
      <c r="E23" s="12" t="s">
        <v>20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4</v>
      </c>
      <c r="C24" s="12" t="n">
        <f aca="false">IF(OR(F24="FERIADO",F24="RECESO"),"—",ROWS($F$12:F24)-COUNTIF($F$12:F24,"FERIADO")-COUNTIF($F$12:F24,"RECESO"))</f>
        <v>13</v>
      </c>
      <c r="D24" s="12" t="s">
        <v>612</v>
      </c>
      <c r="E24" s="12" t="s">
        <v>417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4</v>
      </c>
      <c r="C25" s="12" t="n">
        <f aca="false">IF(OR(F25="FERIADO",F25="RECESO"),"—",ROWS($F$12:F25)-COUNTIF($F$12:F25,"FERIADO")-COUNTIF($F$12:F25,"RECESO"))</f>
        <v>14</v>
      </c>
      <c r="D25" s="12" t="s">
        <v>613</v>
      </c>
      <c r="E25" s="12" t="s">
        <v>25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4</v>
      </c>
      <c r="C26" s="12" t="n">
        <f aca="false">IF(OR(F26="FERIADO",F26="RECESO"),"—",ROWS($F$12:F26)-COUNTIF($F$12:F26,"FERIADO")-COUNTIF($F$12:F26,"RECESO"))</f>
        <v>15</v>
      </c>
      <c r="D26" s="12" t="s">
        <v>614</v>
      </c>
      <c r="E26" s="12" t="s">
        <v>419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5</v>
      </c>
      <c r="C27" s="12" t="n">
        <f aca="false">IF(OR(F27="FERIADO",F27="RECESO"),"—",ROWS($F$12:F27)-COUNTIF($F$12:F27,"FERIADO")-COUNTIF($F$12:F27,"RECESO"))</f>
        <v>16</v>
      </c>
      <c r="D27" s="12" t="s">
        <v>615</v>
      </c>
      <c r="E27" s="12" t="s">
        <v>20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2" t="n">
        <v>5</v>
      </c>
      <c r="C28" s="12" t="n">
        <f aca="false">IF(OR(F28="FERIADO",F28="RECESO"),"—",ROWS($F$12:F28)-COUNTIF($F$12:F28,"FERIADO")-COUNTIF($F$12:F28,"RECESO"))</f>
        <v>17</v>
      </c>
      <c r="D28" s="12" t="s">
        <v>616</v>
      </c>
      <c r="E28" s="12" t="s">
        <v>417</v>
      </c>
      <c r="F28" s="12" t="s">
        <v>21</v>
      </c>
      <c r="G28" s="14"/>
      <c r="H28" s="14"/>
      <c r="I28" s="14"/>
    </row>
    <row r="29" customFormat="false" ht="15" hidden="false" customHeight="true" outlineLevel="0" collapsed="false">
      <c r="B29" s="12" t="n">
        <v>5</v>
      </c>
      <c r="C29" s="12" t="n">
        <f aca="false">IF(OR(F29="FERIADO",F29="RECESO"),"—",ROWS($F$12:F29)-COUNTIF($F$12:F29,"FERIADO")-COUNTIF($F$12:F29,"RECESO"))</f>
        <v>18</v>
      </c>
      <c r="D29" s="12" t="s">
        <v>617</v>
      </c>
      <c r="E29" s="12" t="s">
        <v>25</v>
      </c>
      <c r="F29" s="12" t="s">
        <v>21</v>
      </c>
      <c r="G29" s="14"/>
      <c r="H29" s="14"/>
      <c r="I29" s="14"/>
    </row>
    <row r="30" customFormat="false" ht="15" hidden="false" customHeight="true" outlineLevel="0" collapsed="false">
      <c r="B30" s="12" t="n">
        <v>5</v>
      </c>
      <c r="C30" s="12" t="n">
        <f aca="false">IF(OR(F30="FERIADO",F30="RECESO"),"—",ROWS($F$12:F30)-COUNTIF($F$12:F30,"FERIADO")-COUNTIF($F$12:F30,"RECESO"))</f>
        <v>19</v>
      </c>
      <c r="D30" s="12" t="s">
        <v>618</v>
      </c>
      <c r="E30" s="12" t="s">
        <v>419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6</v>
      </c>
      <c r="C31" s="12" t="n">
        <f aca="false">IF(OR(F31="FERIADO",F31="RECESO"),"—",ROWS($F$12:F31)-COUNTIF($F$12:F31,"FERIADO")-COUNTIF($F$12:F31,"RECESO"))</f>
        <v>20</v>
      </c>
      <c r="D31" s="12" t="s">
        <v>308</v>
      </c>
      <c r="E31" s="12" t="s">
        <v>20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6</v>
      </c>
      <c r="C32" s="12" t="n">
        <f aca="false">IF(OR(F32="FERIADO",F32="RECESO"),"—",ROWS($F$12:F32)-COUNTIF($F$12:F32,"FERIADO")-COUNTIF($F$12:F32,"RECESO"))</f>
        <v>21</v>
      </c>
      <c r="D32" s="12" t="s">
        <v>620</v>
      </c>
      <c r="E32" s="12" t="s">
        <v>417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6</v>
      </c>
      <c r="C33" s="12" t="n">
        <f aca="false">IF(OR(F33="FERIADO",F33="RECESO"),"—",ROWS($F$12:F33)-COUNTIF($F$12:F33,"FERIADO")-COUNTIF($F$12:F33,"RECESO"))</f>
        <v>22</v>
      </c>
      <c r="D33" s="12" t="s">
        <v>621</v>
      </c>
      <c r="E33" s="12" t="s">
        <v>25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6</v>
      </c>
      <c r="C34" s="12" t="n">
        <f aca="false">IF(OR(F34="FERIADO",F34="RECESO"),"—",ROWS($F$12:F34)-COUNTIF($F$12:F34,"FERIADO")-COUNTIF($F$12:F34,"RECESO"))</f>
        <v>23</v>
      </c>
      <c r="D34" s="12" t="s">
        <v>622</v>
      </c>
      <c r="E34" s="12" t="s">
        <v>419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2" t="n">
        <v>7</v>
      </c>
      <c r="C35" s="12" t="n">
        <f aca="false">IF(OR(F35="FERIADO",F35="RECESO"),"—",ROWS($F$12:F35)-COUNTIF($F$12:F35,"FERIADO")-COUNTIF($F$12:F35,"RECESO"))</f>
        <v>24</v>
      </c>
      <c r="D35" s="12" t="s">
        <v>300</v>
      </c>
      <c r="E35" s="12" t="s">
        <v>20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12" t="n">
        <v>7</v>
      </c>
      <c r="C36" s="12" t="n">
        <f aca="false">IF(OR(F36="FERIADO",F36="RECESO"),"—",ROWS($F$12:F36)-COUNTIF($F$12:F36,"FERIADO")-COUNTIF($F$12:F36,"RECESO"))</f>
        <v>25</v>
      </c>
      <c r="D36" s="12" t="s">
        <v>626</v>
      </c>
      <c r="E36" s="12" t="s">
        <v>417</v>
      </c>
      <c r="F36" s="12" t="s">
        <v>21</v>
      </c>
      <c r="G36" s="14"/>
      <c r="H36" s="14"/>
      <c r="I36" s="14"/>
    </row>
    <row r="37" customFormat="false" ht="15" hidden="false" customHeight="true" outlineLevel="0" collapsed="false">
      <c r="B37" s="12" t="n">
        <v>7</v>
      </c>
      <c r="C37" s="12" t="n">
        <f aca="false">IF(OR(F37="FERIADO",F37="RECESO"),"—",ROWS($F$12:F37)-COUNTIF($F$12:F37,"FERIADO")-COUNTIF($F$12:F37,"RECESO"))</f>
        <v>26</v>
      </c>
      <c r="D37" s="12" t="s">
        <v>628</v>
      </c>
      <c r="E37" s="12" t="s">
        <v>25</v>
      </c>
      <c r="F37" s="12" t="s">
        <v>21</v>
      </c>
      <c r="G37" s="14"/>
      <c r="H37" s="14"/>
      <c r="I37" s="14"/>
    </row>
    <row r="38" customFormat="false" ht="15" hidden="false" customHeight="true" outlineLevel="0" collapsed="false">
      <c r="B38" s="12" t="n">
        <v>7</v>
      </c>
      <c r="C38" s="12" t="n">
        <f aca="false">IF(OR(F38="FERIADO",F38="RECESO"),"—",ROWS($F$12:F38)-COUNTIF($F$12:F38,"FERIADO")-COUNTIF($F$12:F38,"RECESO"))</f>
        <v>27</v>
      </c>
      <c r="D38" s="12" t="s">
        <v>627</v>
      </c>
      <c r="E38" s="12" t="s">
        <v>419</v>
      </c>
      <c r="F38" s="12" t="s">
        <v>21</v>
      </c>
      <c r="G38" s="14"/>
      <c r="H38" s="14"/>
      <c r="I38" s="14"/>
    </row>
    <row r="39" customFormat="false" ht="15" hidden="false" customHeight="true" outlineLevel="0" collapsed="false">
      <c r="B39" s="12" t="n">
        <v>8</v>
      </c>
      <c r="C39" s="12" t="n">
        <f aca="false">IF(OR(F39="FERIADO",F39="RECESO"),"—",ROWS($F$12:F39)-COUNTIF($F$12:F39,"FERIADO")-COUNTIF($F$12:F39,"RECESO"))</f>
        <v>28</v>
      </c>
      <c r="D39" s="12" t="s">
        <v>611</v>
      </c>
      <c r="E39" s="12" t="s">
        <v>20</v>
      </c>
      <c r="F39" s="12" t="s">
        <v>21</v>
      </c>
      <c r="G39" s="14"/>
      <c r="H39" s="14"/>
      <c r="I39" s="14"/>
    </row>
    <row r="40" customFormat="false" ht="15" hidden="false" customHeight="true" outlineLevel="0" collapsed="false">
      <c r="B40" s="12" t="n">
        <v>8</v>
      </c>
      <c r="C40" s="12" t="n">
        <f aca="false">IF(OR(F40="FERIADO",F40="RECESO"),"—",ROWS($F$12:F40)-COUNTIF($F$12:F40,"FERIADO")-COUNTIF($F$12:F40,"RECESO"))</f>
        <v>29</v>
      </c>
      <c r="D40" s="12" t="s">
        <v>631</v>
      </c>
      <c r="E40" s="12" t="s">
        <v>417</v>
      </c>
      <c r="F40" s="12" t="s">
        <v>21</v>
      </c>
      <c r="G40" s="14"/>
      <c r="H40" s="14"/>
      <c r="I40" s="14"/>
    </row>
    <row r="41" customFormat="false" ht="15" hidden="false" customHeight="true" outlineLevel="0" collapsed="false">
      <c r="B41" s="12" t="n">
        <v>8</v>
      </c>
      <c r="C41" s="12" t="n">
        <f aca="false">IF(OR(F41="FERIADO",F41="RECESO"),"—",ROWS($F$12:F41)-COUNTIF($F$12:F41,"FERIADO")-COUNTIF($F$12:F41,"RECESO"))</f>
        <v>30</v>
      </c>
      <c r="D41" s="12" t="s">
        <v>632</v>
      </c>
      <c r="E41" s="12" t="s">
        <v>25</v>
      </c>
      <c r="F41" s="12" t="s">
        <v>21</v>
      </c>
      <c r="G41" s="14"/>
      <c r="H41" s="14"/>
      <c r="I41" s="14"/>
    </row>
    <row r="42" customFormat="false" ht="15" hidden="false" customHeight="true" outlineLevel="0" collapsed="false">
      <c r="B42" s="12" t="n">
        <v>8</v>
      </c>
      <c r="C42" s="12" t="n">
        <f aca="false">IF(OR(F42="FERIADO",F42="RECESO"),"—",ROWS($F$12:F42)-COUNTIF($F$12:F42,"FERIADO")-COUNTIF($F$12:F42,"RECESO"))</f>
        <v>31</v>
      </c>
      <c r="D42" s="12" t="s">
        <v>633</v>
      </c>
      <c r="E42" s="12" t="s">
        <v>419</v>
      </c>
      <c r="F42" s="12" t="s">
        <v>21</v>
      </c>
      <c r="G42" s="14"/>
      <c r="H42" s="14"/>
      <c r="I42" s="14"/>
    </row>
    <row r="43" customFormat="false" ht="23.25" hidden="false" customHeight="true" outlineLevel="0" collapsed="false">
      <c r="B43" s="21" t="n">
        <v>9</v>
      </c>
      <c r="C43" s="21" t="n">
        <f aca="false">IF(OR(F43="FERIADO",F43="RECESO"),"—",ROWS($F$12:F43)-COUNTIF($F$12:F43,"FERIADO")-COUNTIF($F$12:F43,"RECESO"))</f>
        <v>32</v>
      </c>
      <c r="D43" s="21" t="s">
        <v>634</v>
      </c>
      <c r="E43" s="21" t="s">
        <v>20</v>
      </c>
      <c r="F43" s="21" t="s">
        <v>326</v>
      </c>
      <c r="G43" s="23"/>
      <c r="H43" s="23"/>
      <c r="I43" s="23" t="s">
        <v>650</v>
      </c>
    </row>
    <row r="44" customFormat="false" ht="23.25" hidden="false" customHeight="true" outlineLevel="0" collapsed="false">
      <c r="B44" s="21" t="n">
        <v>9</v>
      </c>
      <c r="C44" s="21" t="n">
        <f aca="false">IF(OR(F44="FERIADO",F44="RECESO"),"—",ROWS($F$12:F44)-COUNTIF($F$12:F44,"FERIADO")-COUNTIF($F$12:F44,"RECESO"))</f>
        <v>33</v>
      </c>
      <c r="D44" s="21" t="s">
        <v>635</v>
      </c>
      <c r="E44" s="21" t="s">
        <v>417</v>
      </c>
      <c r="F44" s="21" t="s">
        <v>326</v>
      </c>
      <c r="G44" s="23"/>
      <c r="H44" s="23"/>
      <c r="I44" s="23" t="s">
        <v>650</v>
      </c>
    </row>
    <row r="45" customFormat="false" ht="23.25" hidden="false" customHeight="true" outlineLevel="0" collapsed="false">
      <c r="B45" s="21" t="n">
        <v>9</v>
      </c>
      <c r="C45" s="21" t="n">
        <f aca="false">IF(OR(F45="FERIADO",F45="RECESO"),"—",ROWS($F$12:F45)-COUNTIF($F$12:F45,"FERIADO")-COUNTIF($F$12:F45,"RECESO"))</f>
        <v>34</v>
      </c>
      <c r="D45" s="21" t="s">
        <v>636</v>
      </c>
      <c r="E45" s="21" t="s">
        <v>25</v>
      </c>
      <c r="F45" s="21" t="s">
        <v>326</v>
      </c>
      <c r="G45" s="23"/>
      <c r="H45" s="23"/>
      <c r="I45" s="23" t="s">
        <v>650</v>
      </c>
    </row>
    <row r="46" customFormat="false" ht="23.25" hidden="false" customHeight="true" outlineLevel="0" collapsed="false">
      <c r="B46" s="21" t="n">
        <v>9</v>
      </c>
      <c r="C46" s="21" t="n">
        <f aca="false">IF(OR(F46="FERIADO",F46="RECESO"),"—",ROWS($F$12:F46)-COUNTIF($F$12:F46,"FERIADO")-COUNTIF($F$12:F46,"RECESO"))</f>
        <v>35</v>
      </c>
      <c r="D46" s="21" t="s">
        <v>637</v>
      </c>
      <c r="E46" s="21" t="s">
        <v>419</v>
      </c>
      <c r="F46" s="24" t="s">
        <v>21</v>
      </c>
      <c r="G46" s="23"/>
      <c r="H46" s="23"/>
      <c r="I46" s="23" t="s">
        <v>651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412</v>
      </c>
      <c r="K2" s="4" t="s">
        <v>2</v>
      </c>
    </row>
    <row r="3" customFormat="false" ht="15" hidden="false" customHeight="true" outlineLevel="0" collapsed="false">
      <c r="B3" s="5" t="s">
        <v>652</v>
      </c>
      <c r="K3" s="6" t="s">
        <v>4</v>
      </c>
      <c r="L3" s="7" t="n">
        <f aca="false">COUNTIF(F12:F39,"Clase")</f>
        <v>27</v>
      </c>
    </row>
    <row r="4" customFormat="false" ht="15" hidden="false" customHeight="true" outlineLevel="0" collapsed="false">
      <c r="B4" s="8" t="s">
        <v>653</v>
      </c>
      <c r="K4" s="6" t="s">
        <v>6</v>
      </c>
      <c r="L4" s="7" t="n">
        <f aca="false">COUNTIF(F12:F39,"Asincrónico")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COUNTIF(F12:F39,"FERIADO")+COUNTIF(F12:F39,"RECESO")</f>
        <v>1</v>
      </c>
    </row>
    <row r="6" customFormat="false" ht="15" hidden="false" customHeight="true" outlineLevel="0" collapsed="false">
      <c r="K6" s="6" t="s">
        <v>8</v>
      </c>
      <c r="L6" s="7" t="n">
        <f aca="false">MAX(B12:B39)</f>
        <v>7</v>
      </c>
    </row>
    <row r="7" customFormat="false" ht="15" hidden="false" customHeight="true" outlineLevel="0" collapsed="false">
      <c r="K7" s="6" t="s">
        <v>9</v>
      </c>
      <c r="L7" s="9" t="str">
        <f aca="false">"21-jun-2027 al 24-jun-2027"</f>
        <v>21-jun-2027 al 24-jun-2027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294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588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589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590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654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589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655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576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621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585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594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595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9" t="n">
        <v>3</v>
      </c>
      <c r="C20" s="19" t="str">
        <f aca="false">IF(OR(F20="FERIADO",F20="RECESO"),"—",ROWS($F$12:F20)-COUNTIF($F$12:F20,"FERIADO")-COUNTIF($F$12:F20,"RECESO"))</f>
        <v>—</v>
      </c>
      <c r="D20" s="19" t="s">
        <v>377</v>
      </c>
      <c r="E20" s="19" t="s">
        <v>20</v>
      </c>
      <c r="F20" s="19" t="s">
        <v>80</v>
      </c>
      <c r="G20" s="20"/>
      <c r="H20" s="20"/>
      <c r="I20" s="20" t="s">
        <v>375</v>
      </c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9</v>
      </c>
      <c r="D21" s="12" t="s">
        <v>303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10</v>
      </c>
      <c r="D22" s="12" t="s">
        <v>596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11</v>
      </c>
      <c r="D23" s="12" t="s">
        <v>597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4</v>
      </c>
      <c r="C24" s="12" t="n">
        <f aca="false">IF(OR(F24="FERIADO",F24="RECESO"),"—",ROWS($F$12:F24)-COUNTIF($F$12:F24,"FERIADO")-COUNTIF($F$12:F24,"RECESO"))</f>
        <v>12</v>
      </c>
      <c r="D24" s="12" t="s">
        <v>598</v>
      </c>
      <c r="E24" s="12" t="s">
        <v>20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4</v>
      </c>
      <c r="C25" s="12" t="n">
        <f aca="false">IF(OR(F25="FERIADO",F25="RECESO"),"—",ROWS($F$12:F25)-COUNTIF($F$12:F25,"FERIADO")-COUNTIF($F$12:F25,"RECESO"))</f>
        <v>13</v>
      </c>
      <c r="D25" s="12" t="s">
        <v>600</v>
      </c>
      <c r="E25" s="12" t="s">
        <v>417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4</v>
      </c>
      <c r="C26" s="12" t="n">
        <f aca="false">IF(OR(F26="FERIADO",F26="RECESO"),"—",ROWS($F$12:F26)-COUNTIF($F$12:F26,"FERIADO")-COUNTIF($F$12:F26,"RECESO"))</f>
        <v>14</v>
      </c>
      <c r="D26" s="12" t="s">
        <v>601</v>
      </c>
      <c r="E26" s="12" t="s">
        <v>25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4</v>
      </c>
      <c r="C27" s="12" t="n">
        <f aca="false">IF(OR(F27="FERIADO",F27="RECESO"),"—",ROWS($F$12:F27)-COUNTIF($F$12:F27,"FERIADO")-COUNTIF($F$12:F27,"RECESO"))</f>
        <v>15</v>
      </c>
      <c r="D27" s="12" t="s">
        <v>602</v>
      </c>
      <c r="E27" s="12" t="s">
        <v>419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2" t="n">
        <v>5</v>
      </c>
      <c r="C28" s="12" t="n">
        <f aca="false">IF(OR(F28="FERIADO",F28="RECESO"),"—",ROWS($F$12:F28)-COUNTIF($F$12:F28,"FERIADO")-COUNTIF($F$12:F28,"RECESO"))</f>
        <v>16</v>
      </c>
      <c r="D28" s="12" t="s">
        <v>297</v>
      </c>
      <c r="E28" s="12" t="s">
        <v>20</v>
      </c>
      <c r="F28" s="12" t="s">
        <v>21</v>
      </c>
      <c r="G28" s="14"/>
      <c r="H28" s="14"/>
      <c r="I28" s="14"/>
    </row>
    <row r="29" customFormat="false" ht="15" hidden="false" customHeight="true" outlineLevel="0" collapsed="false">
      <c r="B29" s="12" t="n">
        <v>5</v>
      </c>
      <c r="C29" s="12" t="n">
        <f aca="false">IF(OR(F29="FERIADO",F29="RECESO"),"—",ROWS($F$12:F29)-COUNTIF($F$12:F29,"FERIADO")-COUNTIF($F$12:F29,"RECESO"))</f>
        <v>17</v>
      </c>
      <c r="D29" s="12" t="s">
        <v>606</v>
      </c>
      <c r="E29" s="12" t="s">
        <v>417</v>
      </c>
      <c r="F29" s="12" t="s">
        <v>21</v>
      </c>
      <c r="G29" s="14"/>
      <c r="H29" s="14"/>
      <c r="I29" s="14"/>
    </row>
    <row r="30" customFormat="false" ht="15" hidden="false" customHeight="true" outlineLevel="0" collapsed="false">
      <c r="B30" s="12" t="n">
        <v>5</v>
      </c>
      <c r="C30" s="12" t="n">
        <f aca="false">IF(OR(F30="FERIADO",F30="RECESO"),"—",ROWS($F$12:F30)-COUNTIF($F$12:F30,"FERIADO")-COUNTIF($F$12:F30,"RECESO"))</f>
        <v>18</v>
      </c>
      <c r="D30" s="12" t="s">
        <v>608</v>
      </c>
      <c r="E30" s="12" t="s">
        <v>25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5</v>
      </c>
      <c r="C31" s="12" t="n">
        <f aca="false">IF(OR(F31="FERIADO",F31="RECESO"),"—",ROWS($F$12:F31)-COUNTIF($F$12:F31,"FERIADO")-COUNTIF($F$12:F31,"RECESO"))</f>
        <v>19</v>
      </c>
      <c r="D31" s="12" t="s">
        <v>607</v>
      </c>
      <c r="E31" s="12" t="s">
        <v>419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6</v>
      </c>
      <c r="C32" s="12" t="n">
        <f aca="false">IF(OR(F32="FERIADO",F32="RECESO"),"—",ROWS($F$12:F32)-COUNTIF($F$12:F32,"FERIADO")-COUNTIF($F$12:F32,"RECESO"))</f>
        <v>20</v>
      </c>
      <c r="D32" s="12" t="s">
        <v>593</v>
      </c>
      <c r="E32" s="12" t="s">
        <v>20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6</v>
      </c>
      <c r="C33" s="12" t="n">
        <f aca="false">IF(OR(F33="FERIADO",F33="RECESO"),"—",ROWS($F$12:F33)-COUNTIF($F$12:F33,"FERIADO")-COUNTIF($F$12:F33,"RECESO"))</f>
        <v>21</v>
      </c>
      <c r="D33" s="12" t="s">
        <v>612</v>
      </c>
      <c r="E33" s="12" t="s">
        <v>417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6</v>
      </c>
      <c r="C34" s="12" t="n">
        <f aca="false">IF(OR(F34="FERIADO",F34="RECESO"),"—",ROWS($F$12:F34)-COUNTIF($F$12:F34,"FERIADO")-COUNTIF($F$12:F34,"RECESO"))</f>
        <v>22</v>
      </c>
      <c r="D34" s="12" t="s">
        <v>613</v>
      </c>
      <c r="E34" s="12" t="s">
        <v>25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2" t="n">
        <v>6</v>
      </c>
      <c r="C35" s="12" t="n">
        <f aca="false">IF(OR(F35="FERIADO",F35="RECESO"),"—",ROWS($F$12:F35)-COUNTIF($F$12:F35,"FERIADO")-COUNTIF($F$12:F35,"RECESO"))</f>
        <v>23</v>
      </c>
      <c r="D35" s="12" t="s">
        <v>614</v>
      </c>
      <c r="E35" s="12" t="s">
        <v>419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21" t="n">
        <v>7</v>
      </c>
      <c r="C36" s="21" t="n">
        <f aca="false">IF(OR(F36="FERIADO",F36="RECESO"),"—",ROWS($F$12:F36)-COUNTIF($F$12:F36,"FERIADO")-COUNTIF($F$12:F36,"RECESO"))</f>
        <v>24</v>
      </c>
      <c r="D36" s="21" t="s">
        <v>615</v>
      </c>
      <c r="E36" s="21" t="s">
        <v>20</v>
      </c>
      <c r="F36" s="21" t="s">
        <v>21</v>
      </c>
      <c r="G36" s="23"/>
      <c r="H36" s="23"/>
      <c r="I36" s="23" t="s">
        <v>656</v>
      </c>
    </row>
    <row r="37" customFormat="false" ht="15" hidden="false" customHeight="true" outlineLevel="0" collapsed="false">
      <c r="B37" s="21" t="n">
        <v>7</v>
      </c>
      <c r="C37" s="21" t="n">
        <f aca="false">IF(OR(F37="FERIADO",F37="RECESO"),"—",ROWS($F$12:F37)-COUNTIF($F$12:F37,"FERIADO")-COUNTIF($F$12:F37,"RECESO"))</f>
        <v>25</v>
      </c>
      <c r="D37" s="21" t="s">
        <v>616</v>
      </c>
      <c r="E37" s="21" t="s">
        <v>417</v>
      </c>
      <c r="F37" s="21" t="s">
        <v>21</v>
      </c>
      <c r="G37" s="23"/>
      <c r="H37" s="23"/>
      <c r="I37" s="23" t="s">
        <v>656</v>
      </c>
    </row>
    <row r="38" customFormat="false" ht="15" hidden="false" customHeight="true" outlineLevel="0" collapsed="false">
      <c r="B38" s="21" t="n">
        <v>7</v>
      </c>
      <c r="C38" s="21" t="n">
        <f aca="false">IF(OR(F38="FERIADO",F38="RECESO"),"—",ROWS($F$12:F38)-COUNTIF($F$12:F38,"FERIADO")-COUNTIF($F$12:F38,"RECESO"))</f>
        <v>26</v>
      </c>
      <c r="D38" s="21" t="s">
        <v>617</v>
      </c>
      <c r="E38" s="21" t="s">
        <v>25</v>
      </c>
      <c r="F38" s="21" t="s">
        <v>21</v>
      </c>
      <c r="G38" s="23"/>
      <c r="H38" s="23"/>
      <c r="I38" s="23" t="s">
        <v>656</v>
      </c>
    </row>
    <row r="39" customFormat="false" ht="23.25" hidden="false" customHeight="true" outlineLevel="0" collapsed="false">
      <c r="B39" s="21" t="n">
        <v>7</v>
      </c>
      <c r="C39" s="21" t="n">
        <f aca="false">IF(OR(F39="FERIADO",F39="RECESO"),"—",ROWS($F$12:F39)-COUNTIF($F$12:F39,"FERIADO")-COUNTIF($F$12:F39,"RECESO"))</f>
        <v>27</v>
      </c>
      <c r="D39" s="21" t="s">
        <v>618</v>
      </c>
      <c r="E39" s="21" t="s">
        <v>419</v>
      </c>
      <c r="F39" s="24" t="s">
        <v>21</v>
      </c>
      <c r="G39" s="23"/>
      <c r="H39" s="23"/>
      <c r="I39" s="23" t="s">
        <v>657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9" min="9" style="1" width="48"/>
    <col collapsed="false" customWidth="true" hidden="false" outlineLevel="0" max="10" min="10" style="1" width="3"/>
    <col collapsed="false" customWidth="true" hidden="false" outlineLevel="0" max="11" min="11" style="1" width="30"/>
    <col collapsed="false" customWidth="true" hidden="false" outlineLevel="0" max="12" min="12" style="1" width="20"/>
  </cols>
  <sheetData>
    <row r="1" customFormat="false" ht="15" hidden="false" customHeight="true" outlineLevel="0" collapsed="false">
      <c r="B1" s="2" t="s">
        <v>0</v>
      </c>
    </row>
    <row r="2" customFormat="false" ht="17.25" hidden="false" customHeight="true" outlineLevel="0" collapsed="false">
      <c r="B2" s="3" t="s">
        <v>414</v>
      </c>
      <c r="K2" s="4" t="s">
        <v>2</v>
      </c>
    </row>
    <row r="3" customFormat="false" ht="15" hidden="false" customHeight="true" outlineLevel="0" collapsed="false">
      <c r="B3" s="5" t="s">
        <v>658</v>
      </c>
      <c r="K3" s="6" t="s">
        <v>4</v>
      </c>
      <c r="L3" s="7" t="n">
        <f aca="false">COUNTIF(F12:F39,"Clase")</f>
        <v>27</v>
      </c>
    </row>
    <row r="4" customFormat="false" ht="15" hidden="false" customHeight="true" outlineLevel="0" collapsed="false">
      <c r="B4" s="8" t="s">
        <v>659</v>
      </c>
      <c r="K4" s="6" t="s">
        <v>6</v>
      </c>
      <c r="L4" s="7" t="n">
        <f aca="false">COUNTIF(F12:F39,"Asincrónico")</f>
        <v>0</v>
      </c>
    </row>
    <row r="5" customFormat="false" ht="15" hidden="false" customHeight="true" outlineLevel="0" collapsed="false">
      <c r="K5" s="6" t="s">
        <v>7</v>
      </c>
      <c r="L5" s="7" t="n">
        <f aca="false">COUNTIF(F12:F39,"FERIADO")+COUNTIF(F12:F39,"RECESO")</f>
        <v>1</v>
      </c>
    </row>
    <row r="6" customFormat="false" ht="15" hidden="false" customHeight="true" outlineLevel="0" collapsed="false">
      <c r="K6" s="6" t="s">
        <v>8</v>
      </c>
      <c r="L6" s="7" t="n">
        <f aca="false">MAX(B12:B39)</f>
        <v>7</v>
      </c>
    </row>
    <row r="7" customFormat="false" ht="15" hidden="false" customHeight="true" outlineLevel="0" collapsed="false">
      <c r="K7" s="6" t="s">
        <v>9</v>
      </c>
      <c r="L7" s="9" t="str">
        <f aca="false">"10-ago-2027 al 12-ago-2027"</f>
        <v>10-ago-2027 al 12-ago-2027</v>
      </c>
    </row>
    <row r="11" customFormat="false" ht="15" hidden="false" customHeight="true" outlineLevel="0" collapsed="false"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1" t="s">
        <v>16</v>
      </c>
      <c r="H11" s="11" t="s">
        <v>17</v>
      </c>
      <c r="I11" s="11" t="s">
        <v>18</v>
      </c>
    </row>
    <row r="12" customFormat="false" ht="15" hidden="false" customHeight="true" outlineLevel="0" collapsed="false">
      <c r="B12" s="12" t="n">
        <v>1</v>
      </c>
      <c r="C12" s="12" t="n">
        <f aca="false">IF(OR(F12="FERIADO",F12="RECESO"),"—",ROWS($F$12:F12)-COUNTIF($F$12:F12,"FERIADO")-COUNTIF($F$12:F12,"RECESO"))</f>
        <v>1</v>
      </c>
      <c r="D12" s="12" t="s">
        <v>308</v>
      </c>
      <c r="E12" s="12" t="s">
        <v>20</v>
      </c>
      <c r="F12" s="12" t="s">
        <v>21</v>
      </c>
      <c r="G12" s="14"/>
      <c r="H12" s="14"/>
      <c r="I12" s="14"/>
      <c r="K12" s="4" t="s">
        <v>520</v>
      </c>
    </row>
    <row r="13" customFormat="false" ht="23.25" hidden="false" customHeight="true" outlineLevel="0" collapsed="false">
      <c r="B13" s="12" t="n">
        <v>1</v>
      </c>
      <c r="C13" s="12" t="n">
        <f aca="false">IF(OR(F13="FERIADO",F13="RECESO"),"—",ROWS($F$12:F13)-COUNTIF($F$12:F13,"FERIADO")-COUNTIF($F$12:F13,"RECESO"))</f>
        <v>2</v>
      </c>
      <c r="D13" s="12" t="s">
        <v>620</v>
      </c>
      <c r="E13" s="12" t="s">
        <v>417</v>
      </c>
      <c r="F13" s="12" t="s">
        <v>21</v>
      </c>
      <c r="G13" s="14"/>
      <c r="H13" s="14"/>
      <c r="I13" s="14"/>
      <c r="K13" s="6" t="s">
        <v>521</v>
      </c>
      <c r="L13" s="9" t="s">
        <v>622</v>
      </c>
    </row>
    <row r="14" customFormat="false" ht="15" hidden="false" customHeight="true" outlineLevel="0" collapsed="false">
      <c r="B14" s="12" t="n">
        <v>1</v>
      </c>
      <c r="C14" s="12" t="n">
        <f aca="false">IF(OR(F14="FERIADO",F14="RECESO"),"—",ROWS($F$12:F14)-COUNTIF($F$12:F14,"FERIADO")-COUNTIF($F$12:F14,"RECESO"))</f>
        <v>3</v>
      </c>
      <c r="D14" s="12" t="s">
        <v>621</v>
      </c>
      <c r="E14" s="12" t="s">
        <v>25</v>
      </c>
      <c r="F14" s="12" t="s">
        <v>21</v>
      </c>
      <c r="G14" s="14"/>
      <c r="H14" s="14"/>
      <c r="I14" s="14"/>
      <c r="K14" s="6" t="s">
        <v>522</v>
      </c>
      <c r="L14" s="9" t="s">
        <v>660</v>
      </c>
    </row>
    <row r="15" customFormat="false" ht="15" hidden="false" customHeight="true" outlineLevel="0" collapsed="false">
      <c r="B15" s="12" t="n">
        <v>1</v>
      </c>
      <c r="C15" s="12" t="n">
        <f aca="false">IF(OR(F15="FERIADO",F15="RECESO"),"—",ROWS($F$12:F15)-COUNTIF($F$12:F15,"FERIADO")-COUNTIF($F$12:F15,"RECESO"))</f>
        <v>4</v>
      </c>
      <c r="D15" s="12" t="s">
        <v>622</v>
      </c>
      <c r="E15" s="12" t="s">
        <v>419</v>
      </c>
      <c r="F15" s="12" t="s">
        <v>21</v>
      </c>
      <c r="G15" s="14"/>
      <c r="H15" s="14"/>
      <c r="I15" s="14"/>
      <c r="K15" s="6" t="s">
        <v>9</v>
      </c>
      <c r="L15" s="9" t="s">
        <v>661</v>
      </c>
    </row>
    <row r="16" customFormat="false" ht="15" hidden="false" customHeight="true" outlineLevel="0" collapsed="false">
      <c r="B16" s="12" t="n">
        <v>2</v>
      </c>
      <c r="C16" s="12" t="n">
        <f aca="false">IF(OR(F16="FERIADO",F16="RECESO"),"—",ROWS($F$12:F16)-COUNTIF($F$12:F16,"FERIADO")-COUNTIF($F$12:F16,"RECESO"))</f>
        <v>5</v>
      </c>
      <c r="D16" s="12" t="s">
        <v>300</v>
      </c>
      <c r="E16" s="12" t="s">
        <v>20</v>
      </c>
      <c r="F16" s="12" t="s">
        <v>21</v>
      </c>
      <c r="G16" s="14"/>
      <c r="H16" s="14"/>
      <c r="I16" s="14"/>
      <c r="K16" s="6" t="s">
        <v>525</v>
      </c>
      <c r="L16" s="9" t="s">
        <v>662</v>
      </c>
    </row>
    <row r="17" customFormat="false" ht="15" hidden="false" customHeight="true" outlineLevel="0" collapsed="false">
      <c r="B17" s="12" t="n">
        <v>2</v>
      </c>
      <c r="C17" s="12" t="n">
        <f aca="false">IF(OR(F17="FERIADO",F17="RECESO"),"—",ROWS($F$12:F17)-COUNTIF($F$12:F17,"FERIADO")-COUNTIF($F$12:F17,"RECESO"))</f>
        <v>6</v>
      </c>
      <c r="D17" s="12" t="s">
        <v>626</v>
      </c>
      <c r="E17" s="12" t="s">
        <v>417</v>
      </c>
      <c r="F17" s="12" t="s">
        <v>21</v>
      </c>
      <c r="G17" s="14"/>
      <c r="H17" s="14"/>
      <c r="I17" s="14"/>
    </row>
    <row r="18" customFormat="false" ht="15" hidden="false" customHeight="true" outlineLevel="0" collapsed="false">
      <c r="B18" s="12" t="n">
        <v>2</v>
      </c>
      <c r="C18" s="12" t="n">
        <f aca="false">IF(OR(F18="FERIADO",F18="RECESO"),"—",ROWS($F$12:F18)-COUNTIF($F$12:F18,"FERIADO")-COUNTIF($F$12:F18,"RECESO"))</f>
        <v>7</v>
      </c>
      <c r="D18" s="12" t="s">
        <v>628</v>
      </c>
      <c r="E18" s="12" t="s">
        <v>25</v>
      </c>
      <c r="F18" s="12" t="s">
        <v>21</v>
      </c>
      <c r="G18" s="14"/>
      <c r="H18" s="14"/>
      <c r="I18" s="14"/>
    </row>
    <row r="19" customFormat="false" ht="15" hidden="false" customHeight="true" outlineLevel="0" collapsed="false">
      <c r="B19" s="12" t="n">
        <v>2</v>
      </c>
      <c r="C19" s="12" t="n">
        <f aca="false">IF(OR(F19="FERIADO",F19="RECESO"),"—",ROWS($F$12:F19)-COUNTIF($F$12:F19,"FERIADO")-COUNTIF($F$12:F19,"RECESO"))</f>
        <v>8</v>
      </c>
      <c r="D19" s="12" t="s">
        <v>627</v>
      </c>
      <c r="E19" s="12" t="s">
        <v>419</v>
      </c>
      <c r="F19" s="12" t="s">
        <v>21</v>
      </c>
      <c r="G19" s="14"/>
      <c r="H19" s="14"/>
      <c r="I19" s="14"/>
    </row>
    <row r="20" customFormat="false" ht="15" hidden="false" customHeight="true" outlineLevel="0" collapsed="false">
      <c r="B20" s="12" t="n">
        <v>3</v>
      </c>
      <c r="C20" s="12" t="n">
        <f aca="false">IF(OR(F20="FERIADO",F20="RECESO"),"—",ROWS($F$12:F20)-COUNTIF($F$12:F20,"FERIADO")-COUNTIF($F$12:F20,"RECESO"))</f>
        <v>9</v>
      </c>
      <c r="D20" s="12" t="s">
        <v>611</v>
      </c>
      <c r="E20" s="12" t="s">
        <v>20</v>
      </c>
      <c r="F20" s="12" t="s">
        <v>21</v>
      </c>
      <c r="G20" s="14"/>
      <c r="H20" s="14"/>
      <c r="I20" s="14"/>
    </row>
    <row r="21" customFormat="false" ht="15" hidden="false" customHeight="true" outlineLevel="0" collapsed="false">
      <c r="B21" s="12" t="n">
        <v>3</v>
      </c>
      <c r="C21" s="12" t="n">
        <f aca="false">IF(OR(F21="FERIADO",F21="RECESO"),"—",ROWS($F$12:F21)-COUNTIF($F$12:F21,"FERIADO")-COUNTIF($F$12:F21,"RECESO"))</f>
        <v>10</v>
      </c>
      <c r="D21" s="12" t="s">
        <v>631</v>
      </c>
      <c r="E21" s="12" t="s">
        <v>417</v>
      </c>
      <c r="F21" s="12" t="s">
        <v>21</v>
      </c>
      <c r="G21" s="14"/>
      <c r="H21" s="14"/>
      <c r="I21" s="14"/>
    </row>
    <row r="22" customFormat="false" ht="15" hidden="false" customHeight="true" outlineLevel="0" collapsed="false">
      <c r="B22" s="12" t="n">
        <v>3</v>
      </c>
      <c r="C22" s="12" t="n">
        <f aca="false">IF(OR(F22="FERIADO",F22="RECESO"),"—",ROWS($F$12:F22)-COUNTIF($F$12:F22,"FERIADO")-COUNTIF($F$12:F22,"RECESO"))</f>
        <v>11</v>
      </c>
      <c r="D22" s="12" t="s">
        <v>632</v>
      </c>
      <c r="E22" s="12" t="s">
        <v>25</v>
      </c>
      <c r="F22" s="12" t="s">
        <v>21</v>
      </c>
      <c r="G22" s="14"/>
      <c r="H22" s="14"/>
      <c r="I22" s="14"/>
    </row>
    <row r="23" customFormat="false" ht="15" hidden="false" customHeight="true" outlineLevel="0" collapsed="false">
      <c r="B23" s="12" t="n">
        <v>3</v>
      </c>
      <c r="C23" s="12" t="n">
        <f aca="false">IF(OR(F23="FERIADO",F23="RECESO"),"—",ROWS($F$12:F23)-COUNTIF($F$12:F23,"FERIADO")-COUNTIF($F$12:F23,"RECESO"))</f>
        <v>12</v>
      </c>
      <c r="D23" s="12" t="s">
        <v>633</v>
      </c>
      <c r="E23" s="12" t="s">
        <v>419</v>
      </c>
      <c r="F23" s="12" t="s">
        <v>21</v>
      </c>
      <c r="G23" s="14"/>
      <c r="H23" s="14"/>
      <c r="I23" s="14"/>
    </row>
    <row r="24" customFormat="false" ht="15" hidden="false" customHeight="true" outlineLevel="0" collapsed="false">
      <c r="B24" s="12" t="n">
        <v>4</v>
      </c>
      <c r="C24" s="12" t="n">
        <f aca="false">IF(OR(F24="FERIADO",F24="RECESO"),"—",ROWS($F$12:F24)-COUNTIF($F$12:F24,"FERIADO")-COUNTIF($F$12:F24,"RECESO"))</f>
        <v>13</v>
      </c>
      <c r="D24" s="12" t="s">
        <v>634</v>
      </c>
      <c r="E24" s="12" t="s">
        <v>20</v>
      </c>
      <c r="F24" s="12" t="s">
        <v>21</v>
      </c>
      <c r="G24" s="14"/>
      <c r="H24" s="14"/>
      <c r="I24" s="14"/>
    </row>
    <row r="25" customFormat="false" ht="15" hidden="false" customHeight="true" outlineLevel="0" collapsed="false">
      <c r="B25" s="12" t="n">
        <v>4</v>
      </c>
      <c r="C25" s="12" t="n">
        <f aca="false">IF(OR(F25="FERIADO",F25="RECESO"),"—",ROWS($F$12:F25)-COUNTIF($F$12:F25,"FERIADO")-COUNTIF($F$12:F25,"RECESO"))</f>
        <v>14</v>
      </c>
      <c r="D25" s="12" t="s">
        <v>635</v>
      </c>
      <c r="E25" s="12" t="s">
        <v>417</v>
      </c>
      <c r="F25" s="12" t="s">
        <v>21</v>
      </c>
      <c r="G25" s="14"/>
      <c r="H25" s="14"/>
      <c r="I25" s="14"/>
    </row>
    <row r="26" customFormat="false" ht="15" hidden="false" customHeight="true" outlineLevel="0" collapsed="false">
      <c r="B26" s="12" t="n">
        <v>4</v>
      </c>
      <c r="C26" s="12" t="n">
        <f aca="false">IF(OR(F26="FERIADO",F26="RECESO"),"—",ROWS($F$12:F26)-COUNTIF($F$12:F26,"FERIADO")-COUNTIF($F$12:F26,"RECESO"))</f>
        <v>15</v>
      </c>
      <c r="D26" s="12" t="s">
        <v>636</v>
      </c>
      <c r="E26" s="12" t="s">
        <v>25</v>
      </c>
      <c r="F26" s="12" t="s">
        <v>21</v>
      </c>
      <c r="G26" s="14"/>
      <c r="H26" s="14"/>
      <c r="I26" s="14"/>
    </row>
    <row r="27" customFormat="false" ht="15" hidden="false" customHeight="true" outlineLevel="0" collapsed="false">
      <c r="B27" s="12" t="n">
        <v>4</v>
      </c>
      <c r="C27" s="12" t="n">
        <f aca="false">IF(OR(F27="FERIADO",F27="RECESO"),"—",ROWS($F$12:F27)-COUNTIF($F$12:F27,"FERIADO")-COUNTIF($F$12:F27,"RECESO"))</f>
        <v>16</v>
      </c>
      <c r="D27" s="12" t="s">
        <v>637</v>
      </c>
      <c r="E27" s="12" t="s">
        <v>419</v>
      </c>
      <c r="F27" s="12" t="s">
        <v>21</v>
      </c>
      <c r="G27" s="14"/>
      <c r="H27" s="14"/>
      <c r="I27" s="14"/>
    </row>
    <row r="28" customFormat="false" ht="15" hidden="false" customHeight="true" outlineLevel="0" collapsed="false">
      <c r="B28" s="12" t="n">
        <v>5</v>
      </c>
      <c r="C28" s="12" t="n">
        <f aca="false">IF(OR(F28="FERIADO",F28="RECESO"),"—",ROWS($F$12:F28)-COUNTIF($F$12:F28,"FERIADO")-COUNTIF($F$12:F28,"RECESO"))</f>
        <v>17</v>
      </c>
      <c r="D28" s="12" t="s">
        <v>638</v>
      </c>
      <c r="E28" s="12" t="s">
        <v>20</v>
      </c>
      <c r="F28" s="12" t="s">
        <v>21</v>
      </c>
      <c r="G28" s="14"/>
      <c r="H28" s="14"/>
      <c r="I28" s="14"/>
    </row>
    <row r="29" customFormat="false" ht="15" hidden="false" customHeight="true" outlineLevel="0" collapsed="false">
      <c r="B29" s="12" t="n">
        <v>5</v>
      </c>
      <c r="C29" s="12" t="n">
        <f aca="false">IF(OR(F29="FERIADO",F29="RECESO"),"—",ROWS($F$12:F29)-COUNTIF($F$12:F29,"FERIADO")-COUNTIF($F$12:F29,"RECESO"))</f>
        <v>18</v>
      </c>
      <c r="D29" s="12" t="s">
        <v>640</v>
      </c>
      <c r="E29" s="12" t="s">
        <v>417</v>
      </c>
      <c r="F29" s="12" t="s">
        <v>21</v>
      </c>
      <c r="G29" s="14"/>
      <c r="H29" s="14"/>
      <c r="I29" s="14"/>
    </row>
    <row r="30" customFormat="false" ht="15" hidden="false" customHeight="true" outlineLevel="0" collapsed="false">
      <c r="B30" s="12" t="n">
        <v>5</v>
      </c>
      <c r="C30" s="12" t="n">
        <f aca="false">IF(OR(F30="FERIADO",F30="RECESO"),"—",ROWS($F$12:F30)-COUNTIF($F$12:F30,"FERIADO")-COUNTIF($F$12:F30,"RECESO"))</f>
        <v>19</v>
      </c>
      <c r="D30" s="12" t="s">
        <v>641</v>
      </c>
      <c r="E30" s="12" t="s">
        <v>25</v>
      </c>
      <c r="F30" s="12" t="s">
        <v>21</v>
      </c>
      <c r="G30" s="14"/>
      <c r="H30" s="14"/>
      <c r="I30" s="14"/>
    </row>
    <row r="31" customFormat="false" ht="15" hidden="false" customHeight="true" outlineLevel="0" collapsed="false">
      <c r="B31" s="12" t="n">
        <v>5</v>
      </c>
      <c r="C31" s="12" t="n">
        <f aca="false">IF(OR(F31="FERIADO",F31="RECESO"),"—",ROWS($F$12:F31)-COUNTIF($F$12:F31,"FERIADO")-COUNTIF($F$12:F31,"RECESO"))</f>
        <v>20</v>
      </c>
      <c r="D31" s="12" t="s">
        <v>642</v>
      </c>
      <c r="E31" s="12" t="s">
        <v>419</v>
      </c>
      <c r="F31" s="12" t="s">
        <v>21</v>
      </c>
      <c r="G31" s="14"/>
      <c r="H31" s="14"/>
      <c r="I31" s="14"/>
    </row>
    <row r="32" customFormat="false" ht="15" hidden="false" customHeight="true" outlineLevel="0" collapsed="false">
      <c r="B32" s="12" t="n">
        <v>6</v>
      </c>
      <c r="C32" s="12" t="n">
        <f aca="false">IF(OR(F32="FERIADO",F32="RECESO"),"—",ROWS($F$12:F32)-COUNTIF($F$12:F32,"FERIADO")-COUNTIF($F$12:F32,"RECESO"))</f>
        <v>21</v>
      </c>
      <c r="D32" s="12" t="s">
        <v>663</v>
      </c>
      <c r="E32" s="12" t="s">
        <v>20</v>
      </c>
      <c r="F32" s="12" t="s">
        <v>21</v>
      </c>
      <c r="G32" s="14"/>
      <c r="H32" s="14"/>
      <c r="I32" s="14"/>
    </row>
    <row r="33" customFormat="false" ht="15" hidden="false" customHeight="true" outlineLevel="0" collapsed="false">
      <c r="B33" s="12" t="n">
        <v>6</v>
      </c>
      <c r="C33" s="12" t="n">
        <f aca="false">IF(OR(F33="FERIADO",F33="RECESO"),"—",ROWS($F$12:F33)-COUNTIF($F$12:F33,"FERIADO")-COUNTIF($F$12:F33,"RECESO"))</f>
        <v>22</v>
      </c>
      <c r="D33" s="12" t="s">
        <v>664</v>
      </c>
      <c r="E33" s="12" t="s">
        <v>417</v>
      </c>
      <c r="F33" s="12" t="s">
        <v>21</v>
      </c>
      <c r="G33" s="14"/>
      <c r="H33" s="14"/>
      <c r="I33" s="14"/>
    </row>
    <row r="34" customFormat="false" ht="15" hidden="false" customHeight="true" outlineLevel="0" collapsed="false">
      <c r="B34" s="12" t="n">
        <v>6</v>
      </c>
      <c r="C34" s="12" t="n">
        <f aca="false">IF(OR(F34="FERIADO",F34="RECESO"),"—",ROWS($F$12:F34)-COUNTIF($F$12:F34,"FERIADO")-COUNTIF($F$12:F34,"RECESO"))</f>
        <v>23</v>
      </c>
      <c r="D34" s="12" t="s">
        <v>665</v>
      </c>
      <c r="E34" s="12" t="s">
        <v>25</v>
      </c>
      <c r="F34" s="12" t="s">
        <v>21</v>
      </c>
      <c r="G34" s="14"/>
      <c r="H34" s="14"/>
      <c r="I34" s="14"/>
    </row>
    <row r="35" customFormat="false" ht="15" hidden="false" customHeight="true" outlineLevel="0" collapsed="false">
      <c r="B35" s="12" t="n">
        <v>6</v>
      </c>
      <c r="C35" s="12" t="n">
        <f aca="false">IF(OR(F35="FERIADO",F35="RECESO"),"—",ROWS($F$12:F35)-COUNTIF($F$12:F35,"FERIADO")-COUNTIF($F$12:F35,"RECESO"))</f>
        <v>24</v>
      </c>
      <c r="D35" s="12" t="s">
        <v>666</v>
      </c>
      <c r="E35" s="12" t="s">
        <v>419</v>
      </c>
      <c r="F35" s="12" t="s">
        <v>21</v>
      </c>
      <c r="G35" s="14"/>
      <c r="H35" s="14"/>
      <c r="I35" s="14"/>
    </row>
    <row r="36" customFormat="false" ht="15" hidden="false" customHeight="true" outlineLevel="0" collapsed="false">
      <c r="B36" s="19" t="n">
        <v>7</v>
      </c>
      <c r="C36" s="19" t="str">
        <f aca="false">IF(OR(F36="FERIADO",F36="RECESO"),"—",ROWS($F$12:F36)-COUNTIF($F$12:F36,"FERIADO")-COUNTIF($F$12:F36,"RECESO"))</f>
        <v>—</v>
      </c>
      <c r="D36" s="19" t="s">
        <v>379</v>
      </c>
      <c r="E36" s="19" t="s">
        <v>20</v>
      </c>
      <c r="F36" s="19" t="s">
        <v>80</v>
      </c>
      <c r="G36" s="20"/>
      <c r="H36" s="20"/>
      <c r="I36" s="20" t="s">
        <v>345</v>
      </c>
    </row>
    <row r="37" customFormat="false" ht="15" hidden="false" customHeight="true" outlineLevel="0" collapsed="false">
      <c r="B37" s="21" t="n">
        <v>7</v>
      </c>
      <c r="C37" s="21" t="n">
        <f aca="false">IF(OR(F37="FERIADO",F37="RECESO"),"—",ROWS($F$12:F37)-COUNTIF($F$12:F37,"FERIADO")-COUNTIF($F$12:F37,"RECESO"))</f>
        <v>25</v>
      </c>
      <c r="D37" s="21" t="s">
        <v>667</v>
      </c>
      <c r="E37" s="21" t="s">
        <v>417</v>
      </c>
      <c r="F37" s="21" t="s">
        <v>21</v>
      </c>
      <c r="G37" s="23"/>
      <c r="H37" s="23"/>
      <c r="I37" s="23" t="s">
        <v>668</v>
      </c>
    </row>
    <row r="38" customFormat="false" ht="15" hidden="false" customHeight="true" outlineLevel="0" collapsed="false">
      <c r="B38" s="21" t="n">
        <v>7</v>
      </c>
      <c r="C38" s="21" t="n">
        <f aca="false">IF(OR(F38="FERIADO",F38="RECESO"),"—",ROWS($F$12:F38)-COUNTIF($F$12:F38,"FERIADO")-COUNTIF($F$12:F38,"RECESO"))</f>
        <v>26</v>
      </c>
      <c r="D38" s="21" t="s">
        <v>669</v>
      </c>
      <c r="E38" s="21" t="s">
        <v>25</v>
      </c>
      <c r="F38" s="21" t="s">
        <v>21</v>
      </c>
      <c r="G38" s="23"/>
      <c r="H38" s="23"/>
      <c r="I38" s="23" t="s">
        <v>668</v>
      </c>
    </row>
    <row r="39" customFormat="false" ht="23.25" hidden="false" customHeight="true" outlineLevel="0" collapsed="false">
      <c r="B39" s="21" t="n">
        <v>7</v>
      </c>
      <c r="C39" s="21" t="n">
        <f aca="false">IF(OR(F39="FERIADO",F39="RECESO"),"—",ROWS($F$12:F39)-COUNTIF($F$12:F39,"FERIADO")-COUNTIF($F$12:F39,"RECESO"))</f>
        <v>27</v>
      </c>
      <c r="D39" s="21" t="s">
        <v>670</v>
      </c>
      <c r="E39" s="21" t="s">
        <v>419</v>
      </c>
      <c r="F39" s="24" t="s">
        <v>21</v>
      </c>
      <c r="G39" s="23"/>
      <c r="H39" s="23"/>
      <c r="I39" s="23" t="s">
        <v>671</v>
      </c>
    </row>
  </sheetData>
  <hyperlinks>
    <hyperlink ref="B1" location="'Índice'!B5" display="← Volver al índi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44"/>
    <col collapsed="false" customWidth="true" hidden="false" outlineLevel="0" max="5" min="4" style="1" width="15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10" min="9" style="1" width="12"/>
    <col collapsed="false" customWidth="true" hidden="false" outlineLevel="0" max="11" min="11" style="1" width="44"/>
  </cols>
  <sheetData>
    <row r="2" customFormat="false" ht="17.25" hidden="false" customHeight="true" outlineLevel="0" collapsed="false">
      <c r="B2" s="51" t="s">
        <v>672</v>
      </c>
    </row>
    <row r="3" customFormat="false" ht="15" hidden="false" customHeight="true" outlineLevel="0" collapsed="false">
      <c r="B3" s="5" t="s">
        <v>673</v>
      </c>
    </row>
    <row r="5" customFormat="false" ht="15" hidden="false" customHeight="true" outlineLevel="0" collapsed="false">
      <c r="B5" s="11" t="s">
        <v>242</v>
      </c>
      <c r="C5" s="11" t="s">
        <v>674</v>
      </c>
      <c r="D5" s="11" t="s">
        <v>243</v>
      </c>
      <c r="E5" s="11" t="s">
        <v>244</v>
      </c>
      <c r="F5" s="11" t="s">
        <v>383</v>
      </c>
      <c r="G5" s="11" t="s">
        <v>675</v>
      </c>
      <c r="H5" s="11" t="s">
        <v>245</v>
      </c>
      <c r="I5" s="11" t="s">
        <v>676</v>
      </c>
      <c r="J5" s="11" t="s">
        <v>677</v>
      </c>
      <c r="K5" s="11" t="s">
        <v>18</v>
      </c>
    </row>
    <row r="6" customFormat="false" ht="23.25" hidden="false" customHeight="true" outlineLevel="0" collapsed="false">
      <c r="B6" s="12" t="s">
        <v>254</v>
      </c>
      <c r="C6" s="14" t="s">
        <v>678</v>
      </c>
      <c r="D6" s="12" t="s">
        <v>19</v>
      </c>
      <c r="E6" s="12" t="s">
        <v>255</v>
      </c>
      <c r="F6" s="12" t="s">
        <v>679</v>
      </c>
      <c r="G6" s="12" t="n">
        <v>1.5</v>
      </c>
      <c r="H6" s="52" t="n">
        <f aca="false">COUNTIF('S1 Lun-Mié'!F12:F400,"Clase")</f>
        <v>31</v>
      </c>
      <c r="I6" s="52" t="n">
        <f aca="false">H6*G6</f>
        <v>46.5</v>
      </c>
      <c r="J6" s="53" t="n">
        <f aca="false">I6-48</f>
        <v>-1.5</v>
      </c>
      <c r="K6" s="14" t="str">
        <f aca="false">IF(J6&gt;=0,"Completo",TEXT(-J6,"0.0")&amp;" h por debajo de la meta")</f>
        <v>1.5 h por debajo de la meta</v>
      </c>
    </row>
    <row r="7" customFormat="false" ht="23.25" hidden="false" customHeight="true" outlineLevel="0" collapsed="false">
      <c r="B7" s="12" t="s">
        <v>257</v>
      </c>
      <c r="C7" s="14" t="s">
        <v>680</v>
      </c>
      <c r="D7" s="12" t="s">
        <v>19</v>
      </c>
      <c r="E7" s="12" t="s">
        <v>255</v>
      </c>
      <c r="F7" s="12" t="s">
        <v>681</v>
      </c>
      <c r="G7" s="12" t="n">
        <v>1.5</v>
      </c>
      <c r="H7" s="52" t="n">
        <f aca="false">COUNTIF('S1 Mar-Jue'!F12:F400,"Clase")</f>
        <v>31</v>
      </c>
      <c r="I7" s="52" t="n">
        <f aca="false">H7*G7</f>
        <v>46.5</v>
      </c>
      <c r="J7" s="53" t="n">
        <f aca="false">I7-48</f>
        <v>-1.5</v>
      </c>
      <c r="K7" s="14" t="str">
        <f aca="false">IF(J7&gt;=0,"Completo",TEXT(-J7,"0.0")&amp;" h por debajo de la meta")</f>
        <v>1.5 h por debajo de la meta</v>
      </c>
    </row>
    <row r="8" customFormat="false" ht="23.25" hidden="false" customHeight="true" outlineLevel="0" collapsed="false">
      <c r="B8" s="12" t="s">
        <v>259</v>
      </c>
      <c r="C8" s="14" t="s">
        <v>682</v>
      </c>
      <c r="D8" s="12" t="s">
        <v>260</v>
      </c>
      <c r="E8" s="12" t="s">
        <v>261</v>
      </c>
      <c r="F8" s="12" t="s">
        <v>679</v>
      </c>
      <c r="G8" s="12" t="n">
        <v>1.5</v>
      </c>
      <c r="H8" s="52" t="n">
        <f aca="false">COUNTIF('S2 Lun-Mié'!F12:F400,"Clase")</f>
        <v>31</v>
      </c>
      <c r="I8" s="52" t="n">
        <f aca="false">H8*G8</f>
        <v>46.5</v>
      </c>
      <c r="J8" s="53" t="n">
        <f aca="false">I8-48</f>
        <v>-1.5</v>
      </c>
      <c r="K8" s="14" t="str">
        <f aca="false">IF(J8&gt;=0,"Completo",TEXT(-J8,"0.0")&amp;" h por debajo de la meta")</f>
        <v>1.5 h por debajo de la meta</v>
      </c>
    </row>
    <row r="9" customFormat="false" ht="23.25" hidden="false" customHeight="true" outlineLevel="0" collapsed="false">
      <c r="B9" s="12" t="s">
        <v>262</v>
      </c>
      <c r="C9" s="14" t="s">
        <v>683</v>
      </c>
      <c r="D9" s="12" t="s">
        <v>260</v>
      </c>
      <c r="E9" s="12" t="s">
        <v>261</v>
      </c>
      <c r="F9" s="12" t="s">
        <v>681</v>
      </c>
      <c r="G9" s="12" t="n">
        <v>1.5</v>
      </c>
      <c r="H9" s="52" t="n">
        <f aca="false">COUNTIF('S2 Mar-Jue'!F12:F400,"Clase")</f>
        <v>30</v>
      </c>
      <c r="I9" s="52" t="n">
        <f aca="false">H9*G9</f>
        <v>45</v>
      </c>
      <c r="J9" s="53" t="n">
        <f aca="false">I9-48</f>
        <v>-3</v>
      </c>
      <c r="K9" s="14" t="str">
        <f aca="false">IF(J9&gt;=0,"Completo",TEXT(-J9,"0.0")&amp;" h por debajo de la meta")</f>
        <v>3.0 h por debajo de la meta</v>
      </c>
    </row>
    <row r="10" customFormat="false" ht="15" hidden="false" customHeight="true" outlineLevel="0" collapsed="false">
      <c r="B10" s="12" t="s">
        <v>264</v>
      </c>
      <c r="C10" s="14" t="s">
        <v>391</v>
      </c>
      <c r="D10" s="12" t="s">
        <v>19</v>
      </c>
      <c r="E10" s="12" t="s">
        <v>265</v>
      </c>
      <c r="F10" s="12" t="s">
        <v>684</v>
      </c>
      <c r="G10" s="12" t="n">
        <v>3</v>
      </c>
      <c r="H10" s="52" t="n">
        <f aca="false">COUNTIF('S1-Módulo 1'!F12:F400,"Clase")</f>
        <v>16</v>
      </c>
      <c r="I10" s="52" t="n">
        <f aca="false">H10*G10</f>
        <v>48</v>
      </c>
      <c r="J10" s="53" t="n">
        <f aca="false">I10-48</f>
        <v>0</v>
      </c>
      <c r="K10" s="14" t="str">
        <f aca="false">IF(J10&gt;=0,"Completo",TEXT(-J10,"0.0")&amp;" h por debajo de la meta")</f>
        <v>Completo</v>
      </c>
    </row>
    <row r="11" customFormat="false" ht="15" hidden="false" customHeight="true" outlineLevel="0" collapsed="false">
      <c r="B11" s="12" t="s">
        <v>267</v>
      </c>
      <c r="C11" s="14" t="s">
        <v>394</v>
      </c>
      <c r="D11" s="12" t="s">
        <v>43</v>
      </c>
      <c r="E11" s="12" t="s">
        <v>268</v>
      </c>
      <c r="F11" s="12" t="s">
        <v>684</v>
      </c>
      <c r="G11" s="12" t="n">
        <v>3</v>
      </c>
      <c r="H11" s="52" t="n">
        <f aca="false">COUNTIF('S1-Módulo 2'!F12:F400,"Clase")</f>
        <v>16</v>
      </c>
      <c r="I11" s="52" t="n">
        <f aca="false">H11*G11</f>
        <v>48</v>
      </c>
      <c r="J11" s="53" t="n">
        <f aca="false">I11-48</f>
        <v>0</v>
      </c>
      <c r="K11" s="14" t="str">
        <f aca="false">IF(J11&gt;=0,"Completo",TEXT(-J11,"0.0")&amp;" h por debajo de la meta")</f>
        <v>Completo</v>
      </c>
    </row>
    <row r="12" customFormat="false" ht="15" hidden="false" customHeight="true" outlineLevel="0" collapsed="false">
      <c r="B12" s="12" t="s">
        <v>269</v>
      </c>
      <c r="C12" s="14" t="s">
        <v>395</v>
      </c>
      <c r="D12" s="12" t="s">
        <v>68</v>
      </c>
      <c r="E12" s="12" t="s">
        <v>270</v>
      </c>
      <c r="F12" s="12" t="s">
        <v>684</v>
      </c>
      <c r="G12" s="12" t="n">
        <v>3</v>
      </c>
      <c r="H12" s="52" t="n">
        <f aca="false">COUNTIF('S1-Módulo 3'!F12:F400,"Clase")</f>
        <v>14</v>
      </c>
      <c r="I12" s="52" t="n">
        <f aca="false">H12*G12</f>
        <v>42</v>
      </c>
      <c r="J12" s="53" t="n">
        <f aca="false">I12-48</f>
        <v>-6</v>
      </c>
      <c r="K12" s="14" t="str">
        <f aca="false">IF(J12&gt;=0,"Completo",TEXT(-J12,"0.0")&amp;" h por debajo de la meta")</f>
        <v>6.0 h por debajo de la meta</v>
      </c>
    </row>
    <row r="13" customFormat="false" ht="15" hidden="false" customHeight="true" outlineLevel="0" collapsed="false">
      <c r="B13" s="12" t="s">
        <v>271</v>
      </c>
      <c r="C13" s="14" t="s">
        <v>396</v>
      </c>
      <c r="D13" s="12" t="s">
        <v>90</v>
      </c>
      <c r="E13" s="12" t="s">
        <v>255</v>
      </c>
      <c r="F13" s="12" t="s">
        <v>684</v>
      </c>
      <c r="G13" s="12" t="n">
        <v>3</v>
      </c>
      <c r="H13" s="52" t="n">
        <f aca="false">COUNTIF('S1-Módulo 4'!F12:F400,"Clase")</f>
        <v>16</v>
      </c>
      <c r="I13" s="52" t="n">
        <f aca="false">H13*G13</f>
        <v>48</v>
      </c>
      <c r="J13" s="53" t="n">
        <f aca="false">I13-48</f>
        <v>0</v>
      </c>
      <c r="K13" s="14" t="str">
        <f aca="false">IF(J13&gt;=0,"Completo",TEXT(-J13,"0.0")&amp;" h por debajo de la meta")</f>
        <v>Completo</v>
      </c>
    </row>
    <row r="14" customFormat="false" ht="23.25" hidden="false" customHeight="true" outlineLevel="0" collapsed="false">
      <c r="B14" s="12" t="s">
        <v>272</v>
      </c>
      <c r="C14" s="14" t="s">
        <v>397</v>
      </c>
      <c r="D14" s="12" t="s">
        <v>19</v>
      </c>
      <c r="E14" s="12" t="s">
        <v>273</v>
      </c>
      <c r="F14" s="12" t="s">
        <v>684</v>
      </c>
      <c r="G14" s="12" t="n">
        <v>1.5</v>
      </c>
      <c r="H14" s="52" t="n">
        <f aca="false">COUNTIF('S1-Módulo A'!F12:F400,"Clase")</f>
        <v>32</v>
      </c>
      <c r="I14" s="52" t="n">
        <f aca="false">H14*G14</f>
        <v>48</v>
      </c>
      <c r="J14" s="53" t="n">
        <f aca="false">I14-48</f>
        <v>0</v>
      </c>
      <c r="K14" s="14" t="str">
        <f aca="false">IF(J14&gt;=0,"Completo",TEXT(-J14,"0.0")&amp;" h por debajo de la meta")</f>
        <v>Completo</v>
      </c>
    </row>
    <row r="15" customFormat="false" ht="23.25" hidden="false" customHeight="true" outlineLevel="0" collapsed="false">
      <c r="B15" s="12" t="s">
        <v>275</v>
      </c>
      <c r="C15" s="14" t="s">
        <v>400</v>
      </c>
      <c r="D15" s="12" t="s">
        <v>68</v>
      </c>
      <c r="E15" s="12" t="s">
        <v>276</v>
      </c>
      <c r="F15" s="12" t="s">
        <v>684</v>
      </c>
      <c r="G15" s="12" t="n">
        <v>1.5</v>
      </c>
      <c r="H15" s="52" t="n">
        <f aca="false">COUNTIF('S1-Módulo B'!F12:F400,"Clase")</f>
        <v>30</v>
      </c>
      <c r="I15" s="52" t="n">
        <f aca="false">H15*G15</f>
        <v>45</v>
      </c>
      <c r="J15" s="53" t="n">
        <f aca="false">I15-48</f>
        <v>-3</v>
      </c>
      <c r="K15" s="14" t="str">
        <f aca="false">IF(J15&gt;=0,"Completo",TEXT(-J15,"0.0")&amp;" h por debajo de la meta")</f>
        <v>3.0 h por debajo de la meta</v>
      </c>
    </row>
    <row r="16" customFormat="false" ht="15" hidden="false" customHeight="true" outlineLevel="0" collapsed="false">
      <c r="B16" s="12" t="s">
        <v>278</v>
      </c>
      <c r="C16" s="14" t="s">
        <v>401</v>
      </c>
      <c r="D16" s="12" t="s">
        <v>260</v>
      </c>
      <c r="E16" s="12" t="s">
        <v>279</v>
      </c>
      <c r="F16" s="12" t="s">
        <v>684</v>
      </c>
      <c r="G16" s="12" t="n">
        <v>3</v>
      </c>
      <c r="H16" s="52" t="n">
        <f aca="false">COUNTIF('S2-Módulo 1'!F12:F400,"Clase")</f>
        <v>16</v>
      </c>
      <c r="I16" s="52" t="n">
        <f aca="false">H16*G16</f>
        <v>48</v>
      </c>
      <c r="J16" s="53" t="n">
        <f aca="false">I16-48</f>
        <v>0</v>
      </c>
      <c r="K16" s="14" t="str">
        <f aca="false">IF(J16&gt;=0,"Completo",TEXT(-J16,"0.0")&amp;" h por debajo de la meta")</f>
        <v>Completo</v>
      </c>
    </row>
    <row r="17" customFormat="false" ht="15" hidden="false" customHeight="true" outlineLevel="0" collapsed="false">
      <c r="B17" s="12" t="s">
        <v>280</v>
      </c>
      <c r="C17" s="14" t="s">
        <v>402</v>
      </c>
      <c r="D17" s="12" t="s">
        <v>281</v>
      </c>
      <c r="E17" s="12" t="s">
        <v>282</v>
      </c>
      <c r="F17" s="12" t="s">
        <v>684</v>
      </c>
      <c r="G17" s="12" t="n">
        <v>3</v>
      </c>
      <c r="H17" s="52" t="n">
        <f aca="false">COUNTIF('S2-Módulo 2'!F12:F400,"Clase")</f>
        <v>13</v>
      </c>
      <c r="I17" s="52" t="n">
        <f aca="false">H17*G17</f>
        <v>39</v>
      </c>
      <c r="J17" s="53" t="n">
        <f aca="false">I17-48</f>
        <v>-9</v>
      </c>
      <c r="K17" s="14" t="str">
        <f aca="false">IF(J17&gt;=0,"Completo",TEXT(-J17,"0.0")&amp;" h por debajo de la meta")</f>
        <v>9.0 h por debajo de la meta</v>
      </c>
    </row>
    <row r="18" customFormat="false" ht="15" hidden="false" customHeight="true" outlineLevel="0" collapsed="false">
      <c r="B18" s="12" t="s">
        <v>283</v>
      </c>
      <c r="C18" s="14" t="s">
        <v>403</v>
      </c>
      <c r="D18" s="12" t="s">
        <v>284</v>
      </c>
      <c r="E18" s="12" t="s">
        <v>285</v>
      </c>
      <c r="F18" s="12" t="s">
        <v>684</v>
      </c>
      <c r="G18" s="12" t="n">
        <v>3</v>
      </c>
      <c r="H18" s="52" t="n">
        <f aca="false">COUNTIF('S2-Módulo 3'!F12:F400,"Clase")</f>
        <v>16</v>
      </c>
      <c r="I18" s="52" t="n">
        <f aca="false">H18*G18</f>
        <v>48</v>
      </c>
      <c r="J18" s="53" t="n">
        <f aca="false">I18-48</f>
        <v>0</v>
      </c>
      <c r="K18" s="14" t="str">
        <f aca="false">IF(J18&gt;=0,"Completo",TEXT(-J18,"0.0")&amp;" h por debajo de la meta")</f>
        <v>Completo</v>
      </c>
    </row>
    <row r="19" customFormat="false" ht="15" hidden="false" customHeight="true" outlineLevel="0" collapsed="false">
      <c r="B19" s="12" t="s">
        <v>286</v>
      </c>
      <c r="C19" s="14" t="s">
        <v>404</v>
      </c>
      <c r="D19" s="12" t="s">
        <v>287</v>
      </c>
      <c r="E19" s="12" t="s">
        <v>261</v>
      </c>
      <c r="F19" s="12" t="s">
        <v>684</v>
      </c>
      <c r="G19" s="12" t="n">
        <v>3</v>
      </c>
      <c r="H19" s="52" t="n">
        <f aca="false">COUNTIF('S2-Módulo 4'!F12:F400,"Clase")</f>
        <v>16</v>
      </c>
      <c r="I19" s="52" t="n">
        <f aca="false">H19*G19</f>
        <v>48</v>
      </c>
      <c r="J19" s="53" t="n">
        <f aca="false">I19-48</f>
        <v>0</v>
      </c>
      <c r="K19" s="14" t="str">
        <f aca="false">IF(J19&gt;=0,"Completo",TEXT(-J19,"0.0")&amp;" h por debajo de la meta")</f>
        <v>Completo</v>
      </c>
    </row>
    <row r="20" customFormat="false" ht="23.25" hidden="false" customHeight="true" outlineLevel="0" collapsed="false">
      <c r="B20" s="12" t="s">
        <v>288</v>
      </c>
      <c r="C20" s="14" t="s">
        <v>405</v>
      </c>
      <c r="D20" s="12" t="s">
        <v>260</v>
      </c>
      <c r="E20" s="12" t="s">
        <v>289</v>
      </c>
      <c r="F20" s="12" t="s">
        <v>684</v>
      </c>
      <c r="G20" s="12" t="n">
        <v>1.5</v>
      </c>
      <c r="H20" s="52" t="n">
        <f aca="false">COUNTIF('S2-Módulo C'!F12:F400,"Clase")</f>
        <v>29</v>
      </c>
      <c r="I20" s="52" t="n">
        <f aca="false">H20*G20</f>
        <v>43.5</v>
      </c>
      <c r="J20" s="53" t="n">
        <f aca="false">I20-48</f>
        <v>-4.5</v>
      </c>
      <c r="K20" s="14" t="str">
        <f aca="false">IF(J20&gt;=0,"Completo",TEXT(-J20,"0.0")&amp;" h por debajo de la meta")</f>
        <v>4.5 h por debajo de la meta</v>
      </c>
    </row>
    <row r="21" customFormat="false" ht="23.25" hidden="false" customHeight="true" outlineLevel="0" collapsed="false">
      <c r="B21" s="12" t="s">
        <v>290</v>
      </c>
      <c r="C21" s="14" t="s">
        <v>406</v>
      </c>
      <c r="D21" s="12" t="s">
        <v>284</v>
      </c>
      <c r="E21" s="12" t="s">
        <v>291</v>
      </c>
      <c r="F21" s="12" t="s">
        <v>684</v>
      </c>
      <c r="G21" s="12" t="n">
        <v>1.5</v>
      </c>
      <c r="H21" s="52" t="n">
        <f aca="false">COUNTIF('S2-Módulo D'!F12:F400,"Clase")</f>
        <v>32</v>
      </c>
      <c r="I21" s="52" t="n">
        <f aca="false">H21*G21</f>
        <v>48</v>
      </c>
      <c r="J21" s="53" t="n">
        <f aca="false">I21-48</f>
        <v>0</v>
      </c>
      <c r="K21" s="14" t="str">
        <f aca="false">IF(J21&gt;=0,"Completo",TEXT(-J21,"0.0")&amp;" h por debajo de la meta")</f>
        <v>Completo</v>
      </c>
    </row>
    <row r="22" customFormat="false" ht="15" hidden="false" customHeight="true" outlineLevel="0" collapsed="false">
      <c r="B22" s="12" t="s">
        <v>293</v>
      </c>
      <c r="C22" s="14" t="s">
        <v>407</v>
      </c>
      <c r="D22" s="12" t="s">
        <v>294</v>
      </c>
      <c r="E22" s="12" t="s">
        <v>295</v>
      </c>
      <c r="F22" s="12" t="s">
        <v>684</v>
      </c>
      <c r="G22" s="12" t="n">
        <v>3</v>
      </c>
      <c r="H22" s="52" t="n">
        <f aca="false">COUNTIF('V-Módulo 1'!F12:F400,"Clase")</f>
        <v>15</v>
      </c>
      <c r="I22" s="52" t="n">
        <f aca="false">H22*G22</f>
        <v>45</v>
      </c>
      <c r="J22" s="53" t="n">
        <f aca="false">I22-48</f>
        <v>-3</v>
      </c>
      <c r="K22" s="14" t="str">
        <f aca="false">IF(J22&gt;=0,"Completo",TEXT(-J22,"0.0")&amp;" h por debajo de la meta")</f>
        <v>3.0 h por debajo de la meta</v>
      </c>
    </row>
    <row r="23" customFormat="false" ht="15" hidden="false" customHeight="true" outlineLevel="0" collapsed="false">
      <c r="B23" s="12" t="s">
        <v>296</v>
      </c>
      <c r="C23" s="14" t="s">
        <v>408</v>
      </c>
      <c r="D23" s="12" t="s">
        <v>297</v>
      </c>
      <c r="E23" s="12" t="s">
        <v>298</v>
      </c>
      <c r="F23" s="12" t="s">
        <v>684</v>
      </c>
      <c r="G23" s="12" t="n">
        <v>3</v>
      </c>
      <c r="H23" s="52" t="n">
        <f aca="false">COUNTIF('V-Módulo 2'!F12:F400,"Clase")</f>
        <v>16</v>
      </c>
      <c r="I23" s="52" t="n">
        <f aca="false">H23*G23</f>
        <v>48</v>
      </c>
      <c r="J23" s="53" t="n">
        <f aca="false">I23-48</f>
        <v>0</v>
      </c>
      <c r="K23" s="14" t="str">
        <f aca="false">IF(J23&gt;=0,"Completo",TEXT(-J23,"0.0")&amp;" h por debajo de la meta")</f>
        <v>Completo</v>
      </c>
    </row>
    <row r="24" customFormat="false" ht="15" hidden="false" customHeight="true" outlineLevel="0" collapsed="false">
      <c r="B24" s="12" t="s">
        <v>299</v>
      </c>
      <c r="C24" s="14" t="s">
        <v>409</v>
      </c>
      <c r="D24" s="12" t="s">
        <v>300</v>
      </c>
      <c r="E24" s="12" t="s">
        <v>301</v>
      </c>
      <c r="F24" s="12" t="s">
        <v>684</v>
      </c>
      <c r="G24" s="12" t="n">
        <v>3</v>
      </c>
      <c r="H24" s="52" t="n">
        <f aca="false">COUNTIF('V-Módulo 3'!F12:F400,"Clase")</f>
        <v>16</v>
      </c>
      <c r="I24" s="52" t="n">
        <f aca="false">H24*G24</f>
        <v>48</v>
      </c>
      <c r="J24" s="53" t="n">
        <f aca="false">I24-48</f>
        <v>0</v>
      </c>
      <c r="K24" s="14" t="str">
        <f aca="false">IF(J24&gt;=0,"Completo",TEXT(-J24,"0.0")&amp;" h por debajo de la meta")</f>
        <v>Completo</v>
      </c>
    </row>
    <row r="25" customFormat="false" ht="15" hidden="false" customHeight="true" outlineLevel="0" collapsed="false">
      <c r="B25" s="12" t="s">
        <v>302</v>
      </c>
      <c r="C25" s="14" t="s">
        <v>410</v>
      </c>
      <c r="D25" s="12" t="s">
        <v>303</v>
      </c>
      <c r="E25" s="12" t="s">
        <v>304</v>
      </c>
      <c r="F25" s="12" t="s">
        <v>684</v>
      </c>
      <c r="G25" s="12" t="n">
        <v>1.5</v>
      </c>
      <c r="H25" s="52" t="n">
        <f aca="false">COUNTIF('V-En línea'!F12:F400,"Clase")</f>
        <v>32</v>
      </c>
      <c r="I25" s="52" t="n">
        <f aca="false">H25*G25</f>
        <v>48</v>
      </c>
      <c r="J25" s="53" t="n">
        <f aca="false">I25-48</f>
        <v>0</v>
      </c>
      <c r="K25" s="14" t="str">
        <f aca="false">IF(J25&gt;=0,"Completo",TEXT(-J25,"0.0")&amp;" h por debajo de la meta")</f>
        <v>Completo</v>
      </c>
    </row>
    <row r="26" customFormat="false" ht="15" hidden="false" customHeight="true" outlineLevel="0" collapsed="false">
      <c r="B26" s="12" t="s">
        <v>305</v>
      </c>
      <c r="C26" s="14" t="s">
        <v>412</v>
      </c>
      <c r="D26" s="12" t="s">
        <v>294</v>
      </c>
      <c r="E26" s="12" t="s">
        <v>306</v>
      </c>
      <c r="F26" s="12" t="s">
        <v>684</v>
      </c>
      <c r="G26" s="12" t="n">
        <v>1.5</v>
      </c>
      <c r="H26" s="52" t="n">
        <f aca="false">COUNTIF('V-Inglés E'!F12:F400,"Clase")</f>
        <v>27</v>
      </c>
      <c r="I26" s="52" t="n">
        <f aca="false">H26*G26</f>
        <v>40.5</v>
      </c>
      <c r="J26" s="53" t="n">
        <f aca="false">I26-48</f>
        <v>-7.5</v>
      </c>
      <c r="K26" s="14" t="str">
        <f aca="false">IF(J26&gt;=0,"Completo",TEXT(-J26,"0.0")&amp;" h por debajo de la meta")</f>
        <v>7.5 h por debajo de la meta</v>
      </c>
    </row>
    <row r="27" customFormat="false" ht="15" hidden="false" customHeight="true" outlineLevel="0" collapsed="false">
      <c r="B27" s="12" t="s">
        <v>307</v>
      </c>
      <c r="C27" s="14" t="s">
        <v>414</v>
      </c>
      <c r="D27" s="12" t="s">
        <v>308</v>
      </c>
      <c r="E27" s="12" t="s">
        <v>309</v>
      </c>
      <c r="F27" s="12" t="s">
        <v>684</v>
      </c>
      <c r="G27" s="12" t="n">
        <v>1.5</v>
      </c>
      <c r="H27" s="52" t="n">
        <f aca="false">COUNTIF('V-Inglés F'!F12:F400,"Clase")</f>
        <v>27</v>
      </c>
      <c r="I27" s="52" t="n">
        <f aca="false">H27*G27</f>
        <v>40.5</v>
      </c>
      <c r="J27" s="53" t="n">
        <f aca="false">I27-48</f>
        <v>-7.5</v>
      </c>
      <c r="K27" s="14" t="str">
        <f aca="false">IF(J27&gt;=0,"Completo",TEXT(-J27,"0.0")&amp;" h por debajo de la meta")</f>
        <v>7.5 h por debajo de la meta</v>
      </c>
    </row>
    <row r="29" customFormat="false" ht="15" hidden="false" customHeight="true" outlineLevel="0" collapsed="false">
      <c r="B29" s="54" t="s">
        <v>685</v>
      </c>
      <c r="I29" s="55" t="n">
        <f aca="false">SUM(I6:I27)</f>
        <v>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2026-08-13T04:54:40Z</dcterms:created>
  <dc:creator>openpyxl</dc:creator>
  <dc:description/>
  <dc:language>en-US</dc:language>
  <cp:lastModifiedBy/>
  <dcterms:modified xsi:type="dcterms:W3CDTF">2026-08-17T05:55:55Z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