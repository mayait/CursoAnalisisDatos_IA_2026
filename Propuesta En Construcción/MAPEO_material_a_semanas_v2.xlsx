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Mapeo por semana" sheetId="2" state="visible" r:id="rId4"/>
    <sheet name="No reutilizables" sheetId="3" state="visible" r:id="rId5"/>
    <sheet name="Python fuera de alcance" sheetId="4" state="visible" r:id="rId6"/>
    <sheet name="Inventario D2L" sheetId="5" state="visible" r:id="rId7"/>
  </sheets>
  <definedNames>
    <definedName function="false" hidden="true" localSheetId="4" name="_xlnm._FilterDatabase" vbProcedure="false">'Inventario D2L'!$A$1:$I$54</definedName>
    <definedName function="false" hidden="true" localSheetId="1" name="_xlnm._FilterDatabase" vbProcedure="false">'Mapeo por semana'!$A$1:$I$66</definedName>
    <definedName function="false" hidden="true" localSheetId="2" name="_xlnm._FilterDatabase" vbProcedure="false">'No reutilizables'!$A$1:$E$17</definedName>
    <definedName function="false" hidden="true" localSheetId="3" name="_xlnm._FilterDatabase" vbProcedure="false">'Python fuera de alcance'!$A$1:$B$7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<sst xmlns="http://schemas.openxmlformats.org/spreadsheetml/2006/main" count="1080" uniqueCount="332">
  <si>
    <t xml:space="preserve">ADM 2003 · Material para la propuesta Python + IA · cronograma v2</t>
  </si>
  <si>
    <t xml:space="preserve">Fuentes: exports D2L 202410 y 202520 (53 actividades) + repo CursoPythonDatos_2026 (17 cuadernos, 10 casos, 6 simuladores).</t>
  </si>
  <si>
    <t xml:space="preserve">Indicador</t>
  </si>
  <si>
    <t xml:space="preserve">Valor</t>
  </si>
  <si>
    <t xml:space="preserve">Actividades heredadas de D2L</t>
  </si>
  <si>
    <t xml:space="preserve">Reutilizables casi tal cual</t>
  </si>
  <si>
    <t xml:space="preserve">Adaptables (cambia herramienta o entregable)</t>
  </si>
  <si>
    <t xml:space="preserve">Descartadas</t>
  </si>
  <si>
    <t xml:space="preserve">Recursos del seminario de Python asignados a semanas</t>
  </si>
  <si>
    <t xml:space="preserve">Semanas sin ningún material</t>
  </si>
  <si>
    <t xml:space="preserve">Cambios del cronograma v2: regresión en las semanas 12 y 13, semana 10 nueva de estrategia y journey map,</t>
  </si>
  <si>
    <t xml:space="preserve">fuera la semana de anomalías y KPIs, manipulación fusionada en la semana 5, y RFM como proyecto de medio semestre (semana 8).</t>
  </si>
  <si>
    <t xml:space="preserve">Semanas todavía cojas: 10 (falta la sesión conceptual), 11 (falta el catálogo de doce problemas) y 15 (falta el caso de riesgo crediticio).</t>
  </si>
  <si>
    <t xml:space="preserve">Nota: 26 de las 29 actividades de 202520 se exportaron sin el texto de las instrucciones; conservan título y adjuntos.</t>
  </si>
  <si>
    <t xml:space="preserve">Semana</t>
  </si>
  <si>
    <t xml:space="preserve">Tema de la semana</t>
  </si>
  <si>
    <t xml:space="preserve">Fuente</t>
  </si>
  <si>
    <t xml:space="preserve">Recurso</t>
  </si>
  <si>
    <t xml:space="preserve">Origen</t>
  </si>
  <si>
    <t xml:space="preserve">Estado</t>
  </si>
  <si>
    <t xml:space="preserve">Cómo se usa / qué cambiar</t>
  </si>
  <si>
    <t xml:space="preserve">Adjuntos</t>
  </si>
  <si>
    <t xml:space="preserve">Ruta</t>
  </si>
  <si>
    <t xml:space="preserve">Introducción a Business Analytics y Big Data en la era de la IA</t>
  </si>
  <si>
    <t xml:space="preserve">D2L heredado</t>
  </si>
  <si>
    <t xml:space="preserve">Contrato de Grupo</t>
  </si>
  <si>
    <t xml:space="preserve">202410 · Python + Tableau</t>
  </si>
  <si>
    <t xml:space="preserve">REUTILIZABLE</t>
  </si>
  <si>
    <t xml:space="preserve">Sirve tal cual. Añadir la firma del protocolo de uso de IA generativa que pide la semana 1.</t>
  </si>
  <si>
    <t xml:space="preserve">—</t>
  </si>
  <si>
    <t xml:space="preserve">Material Actual/Actividades Organizadas/00_Gestion_de_Curso_y_Equipos/2024_Contrato_de_Grupo/</t>
  </si>
  <si>
    <t xml:space="preserve">Sin inteligencia artificial no te van a escuchar. ¿Valor o Humo?</t>
  </si>
  <si>
    <t xml:space="preserve">202520 · KNIME</t>
  </si>
  <si>
    <t xml:space="preserve">ADAPTAR</t>
  </si>
  <si>
    <t xml:space="preserve">Debate sobre valor real frente a humo de la IA. Encaja con la apertura de la semana 1; hay que redactar el enunciado porque el export viene vacío.</t>
  </si>
  <si>
    <t xml:space="preserve">Material Actual/Actividades Organizadas/09_Casos_y_Procesos_de_Negocio/2025_Sin_inteligencia_artificial_no_te_van_a_escuchar_Valor_o_Humo/</t>
  </si>
  <si>
    <t xml:space="preserve">Seminario Python</t>
  </si>
  <si>
    <t xml:space="preserve">S01-C1 · Kick-off del seminario · clase_01.ipynb</t>
  </si>
  <si>
    <t xml:space="preserve">CursoPythonDatos_2026</t>
  </si>
  <si>
    <t xml:space="preserve">SEMINARIO PYTHON</t>
  </si>
  <si>
    <t xml:space="preserve">Formación de equipos, contrato y arranque del repo. Se le añade la firma del protocolo de uso de IA generativa.</t>
  </si>
  <si>
    <t xml:space="preserve">S01-C1</t>
  </si>
  <si>
    <t xml:space="preserve">Business Analytics en las organizaciones. La pregunta antes del dato</t>
  </si>
  <si>
    <t xml:space="preserve">Taller 01 | Introducción a KNIME con Pizza Sales</t>
  </si>
  <si>
    <t xml:space="preserve">Buen dataset de entrada. Reescribir el flujo KNIME como cuaderno Colab: read_csv, head, info y shape sobre pizza_sales.xlsx, que viene adjunto en la carpeta del Taller 02.</t>
  </si>
  <si>
    <t xml:space="preserve">Material Actual/Actividades Organizadas/02_Primer_Contacto_con_Datos_y_EDA/2025_Taller_01_Introduccion_a_KNIME_con_Pizza_Sales/</t>
  </si>
  <si>
    <t xml:space="preserve">S03-C2 · Pandas I · clase_06.ipynb</t>
  </si>
  <si>
    <t xml:space="preserve">Series, DataFrames, read_csv, exploración rápida, loc/iloc y filtros booleanos. Es la sesión de la semana 2 casi tal cual.</t>
  </si>
  <si>
    <t xml:space="preserve">S03-C2</t>
  </si>
  <si>
    <t xml:space="preserve">S02-C2 · Planteamiento del proyecto · clase_04.ipynb</t>
  </si>
  <si>
    <t xml:space="preserve">Pregunta de negocio, ficha del dataset, historias de usuario y limitaciones conocidas. Es exactamente el Deber 1.</t>
  </si>
  <si>
    <t xml:space="preserve">S02-C2</t>
  </si>
  <si>
    <t xml:space="preserve">Estadística descriptiva aplicada al negocio</t>
  </si>
  <si>
    <t xml:space="preserve">Taller 02 | Ejercicio: Análisis Individual Pizza Sales</t>
  </si>
  <si>
    <t xml:space="preserve">El banco de preguntas (EDA_Pizza_BancoPreguntas.docx) es estadística descriptiva pura y se reutiliza casi íntegro como las doce preguntas contra reloj del laboratorio de la semana 3. Cambiar la herramienta a pandas.</t>
  </si>
  <si>
    <t xml:space="preserve">EDA_Pizza_BancoPreguntas.docx, pizza_sales.xlsx</t>
  </si>
  <si>
    <t xml:space="preserve">Material Actual/Actividades Organizadas/02_Primer_Contacto_con_Datos_y_EDA/2025_Taller_02_Ejercicio_Analisis_Individual_Pizza_Sales/</t>
  </si>
  <si>
    <t xml:space="preserve">Python | Estadística descriptiva con Pandas</t>
  </si>
  <si>
    <t xml:space="preserve">Cuaderno Colab con Credit.csv. Es el mejor calce directo del curso viejo. Solo actualizar el enunciado con media frente a mediana y la bitácora de prompts.</t>
  </si>
  <si>
    <t xml:space="preserve">Credit.csv</t>
  </si>
  <si>
    <t xml:space="preserve">Material Actual/Actividades Organizadas/03_Estadistica_Descriptiva/2024_Python_Estadistica_descriptiva_con_Pandas/</t>
  </si>
  <si>
    <t xml:space="preserve">S04-C2 · Visualizaciones · clase_08.ipynb (secciones 1-3)</t>
  </si>
  <si>
    <t xml:space="preserve">Distribuciones, estadísticas, percentiles y detección de outliers con IQR. Se usa la mitad descriptiva; la parte gráfica queda para la semana 6.</t>
  </si>
  <si>
    <t xml:space="preserve">S04-C2</t>
  </si>
  <si>
    <t xml:space="preserve">Anatomía y calidad de los datos</t>
  </si>
  <si>
    <t xml:space="preserve">Análisis exploratorio con KNIME</t>
  </si>
  <si>
    <t xml:space="preserve">Rehacer como inventario de calidad de datos con dtypes, isna, duplicated y astype. Es la base del Deber 2 (bitácora de limpieza).</t>
  </si>
  <si>
    <t xml:space="preserve">Material Actual/Actividades Organizadas/02_Primer_Contacto_con_Datos_y_EDA/2025_Analisis_exploratorio_con_KNIME/</t>
  </si>
  <si>
    <t xml:space="preserve">Diagnostico de la Analítica de Datos en Procesos Empresariales</t>
  </si>
  <si>
    <t xml:space="preserve">Hito del proyecto integrador, no contenido del tema de la semana: coincide con el entregable Propuesta de proyecto final de la semana 4. El diagnóstico de madurez organizacional (entrevistas, framework, oportunidades) se conserva tal cual.</t>
  </si>
  <si>
    <t xml:space="preserve">Material Actual/Actividades Organizadas/10_Proyecto_Integrador/2024_Diagnostico_de_la_Analitica_de_Datos_en_Procesos_Empresariales/</t>
  </si>
  <si>
    <t xml:space="preserve">Proyecto Final | Diagnóstico de Analítica de Datos en la Empresa</t>
  </si>
  <si>
    <t xml:space="preserve">Hito del proyecto integrador que se entrega en la semana 4. Versión mejorada de la de 202410: añade la evaluación de madurez digital con pymedigital.ec. Usar esta como base.</t>
  </si>
  <si>
    <t xml:space="preserve">Material Actual/Actividades Organizadas/10_Proyecto_Integrador/2025_Proyecto_Final_Diagnostico_de_Analitica_de_Datos_en_la_Empresa/</t>
  </si>
  <si>
    <t xml:space="preserve">S04-C1 · Pandas II · clase_07.ipynb (bloque de limpieza)</t>
  </si>
  <si>
    <t xml:space="preserve">Flujo de limpieza con antes y después, y checkpoint. Base de la bitácora de limpieza del Deber 2.</t>
  </si>
  <si>
    <t xml:space="preserve">S04-C1</t>
  </si>
  <si>
    <t xml:space="preserve">Manipulación de datos. Agrupar, limpiar y combinar</t>
  </si>
  <si>
    <t xml:space="preserve">Participación | Taller Grupal: Análisis Exploratorio SuperStore</t>
  </si>
  <si>
    <t xml:space="preserve">Pasa a la semana fusionada de manipulación: torneo de preguntas resueltas con groupby, agg y merge. Hay que redactar el enunciado porque el export viene vacío.</t>
  </si>
  <si>
    <t xml:space="preserve">Material Actual/Actividades Organizadas/02_Primer_Contacto_con_Datos_y_EDA/2025_Participacion_Taller_Grupal_Analisis_Exploratorio_SuperStore/</t>
  </si>
  <si>
    <t xml:space="preserve">S04-C1 · Pandas II · clase_07.ipynb (bloque de agrupación)</t>
  </si>
  <si>
    <t xml:space="preserve">Groupby básico y agregaciones múltiples, ya implementados. Ojo: el plan de la sesión promete pivot, melt, merge y concat, pero el cuaderno no los implementa. Las uniones hay que escribirlas.</t>
  </si>
  <si>
    <t xml:space="preserve">Visualización de datos</t>
  </si>
  <si>
    <t xml:space="preserve">Data visualization I</t>
  </si>
  <si>
    <t xml:space="preserve">Ejercicio 2.1 de Knaflic, agnóstico de herramienta. Pedir el gráfico en matplotlib o seaborn en vez de PowerPoint.</t>
  </si>
  <si>
    <t xml:space="preserve">2.1 EXERCISE.xlsx</t>
  </si>
  <si>
    <t xml:space="preserve">Material Actual/Actividades Organizadas/04_Visualizacion_de_Datos/2024_Data_visualization_I/</t>
  </si>
  <si>
    <t xml:space="preserve">Data visualization II</t>
  </si>
  <si>
    <t xml:space="preserve">Bocetos en papel a slide. Mantener el boceto a mano y exigir que la versión final sea código.</t>
  </si>
  <si>
    <t xml:space="preserve">2.4 EXERCISE.xlsx</t>
  </si>
  <si>
    <t xml:space="preserve">Material Actual/Actividades Organizadas/04_Visualizacion_de_Datos/2024_Data_visualization_II/</t>
  </si>
  <si>
    <t xml:space="preserve">Data visualization III</t>
  </si>
  <si>
    <t xml:space="preserve">Ejercicio 2.2: mapa de calor, columnas y línea. Traducir los tres pasos a matplotlib y discutir cuál comunica mejor.</t>
  </si>
  <si>
    <t xml:space="preserve">2.2 EXERCISE.xlsx</t>
  </si>
  <si>
    <t xml:space="preserve">Material Actual/Actividades Organizadas/04_Visualizacion_de_Datos/2024_Data_visualization_III/</t>
  </si>
  <si>
    <t xml:space="preserve">Lectura Data Storytelling</t>
  </si>
  <si>
    <t xml:space="preserve">El PDF de Cole Nussbaumer Knaflic está en 99_Lecturas_y_Material_de_Apoyo, pero el export no trae el enunciado: hay que redactar de nuevo las preguntas de la lectura previa de la semana 6.</t>
  </si>
  <si>
    <t xml:space="preserve">Material Actual/Actividades Organizadas/04_Visualizacion_de_Datos/2025_Lectura_Data_Storytelling/</t>
  </si>
  <si>
    <t xml:space="preserve">S04-C2 · Visualizaciones · clase_08.ipynb (secciones 4-7)</t>
  </si>
  <si>
    <t xml:space="preserve">Dashboard exploratorio, relación entre variables y el flujo de la exploración. Trae histograma, caja, dispersión y barras; faltan la serie de línea y las barras ordenadas que pide el repertorio mínimo.</t>
  </si>
  <si>
    <t xml:space="preserve">Material Actual/Actividades Organizadas/99_Lecturas_y_Material_de_Apoyo/CONTEXTO - Storytelling con datos - Cole Nussbaumer Knaflic (1).pdf</t>
  </si>
  <si>
    <t xml:space="preserve">Lectura previa del lunes. El PDF ya viene en el export de 202520.</t>
  </si>
  <si>
    <t xml:space="preserve">Visualización avanzada y tableros</t>
  </si>
  <si>
    <t xml:space="preserve">Data Visualization IV (Resultados financieros)</t>
  </si>
  <si>
    <t xml:space="preserve">Contar un estado de resultados a no financieros. Reescribirlo como cascada interactiva en Plotly para que justifique la semana de tableros.</t>
  </si>
  <si>
    <t xml:space="preserve">Material Actual/Actividades Organizadas/04_Visualizacion_de_Datos/2024_Data_Visualization_IV_Resultados_financieros/</t>
  </si>
  <si>
    <t xml:space="preserve">Dashboard de Superstore en Tableau</t>
  </si>
  <si>
    <t xml:space="preserve">La pregunta de negocio (¿qué pasa con profit en el último año?) se conserva; el tablero se rehace en Plotly o Streamlit dentro del cuaderno. Tableau sale del curso.</t>
  </si>
  <si>
    <t xml:space="preserve">Material Actual/Actividades Organizadas/05_Dashboards_y_Tableros/2024_Dashboard_de_Superstore_en_Tableau/</t>
  </si>
  <si>
    <t xml:space="preserve">S08-C1 · Dashboards con Streamlit · clase_15.ipynb</t>
  </si>
  <si>
    <t xml:space="preserve">Widgets, dashboard mínimo, separación de datos, lógica y UI, y despliegue gratuito. Reemplaza a Tableau.</t>
  </si>
  <si>
    <t xml:space="preserve">S08-C1</t>
  </si>
  <si>
    <t xml:space="preserve">¿Quiénes son mis clientes y cuánto valen?</t>
  </si>
  <si>
    <t xml:space="preserve">Análisis RFM + P para Superstore (Individual) Primera parte.</t>
  </si>
  <si>
    <t xml:space="preserve">Núcleo del proyecto de medio semestre. Ya está en Colab y ya exige adjuntar el prompt final del LLM. Añadir el contraste con KMeans y la recomendación comercial por segmento.</t>
  </si>
  <si>
    <t xml:space="preserve">Material Actual/Actividades Organizadas/08_Segmentacion_RFM/2024_Analisis_RFM_P_para_Superstore_Individual_Primera_parte/</t>
  </si>
  <si>
    <t xml:space="preserve">Proyecto Grupal | Análisis RFM+P: Clasificación de Clientes SuperStore</t>
  </si>
  <si>
    <t xml:space="preserve">Versión grupal: es el entregable calificado del corte de medio semestre. Nombrar los segmentos y escribir el mensaje comercial de cada uno.</t>
  </si>
  <si>
    <t xml:space="preserve">Material Actual/Actividades Organizadas/08_Segmentacion_RFM/2025_Proyecto_Grupal_Analisis_RFM_P_Clasificacion_de_Clientes_SuperStore/</t>
  </si>
  <si>
    <t xml:space="preserve">casos/Caso_01_Segmentacion_Clientes_Retail.md</t>
  </si>
  <si>
    <t xml:space="preserve">Caso completo de RFM y KMeans sobre Online Retail II, con fases, API y dashboard. Es el enunciado del proyecto de medio semestre.</t>
  </si>
  <si>
    <t xml:space="preserve">casos/Entregable_Intermedio_Mitad_Seminario.md</t>
  </si>
  <si>
    <t xml:space="preserve">Punto de control de mitad de seminario: estructura de repo, cuadernos mínimos y bitácora de uso de IA. Sirve de rúbrica del corte.</t>
  </si>
  <si>
    <t xml:space="preserve">Comparación, variabilidad y causalidad</t>
  </si>
  <si>
    <t xml:space="preserve">S07-C2 · Hipótesis y pruebas estadísticas · clase_14.ipynb</t>
  </si>
  <si>
    <t xml:space="preserve">Prueba t, chi cuadrado, ANOVA, tamaño del efecto y protocolo completo. Cubre el laboratorio entero de la semana 9.</t>
  </si>
  <si>
    <t xml:space="preserve">S07-C2</t>
  </si>
  <si>
    <t xml:space="preserve">Estrategia, transformación digital y experiencia del cliente</t>
  </si>
  <si>
    <t xml:space="preserve">Caso Banco Andino - Journey Map</t>
  </si>
  <si>
    <t xml:space="preserve">Pieza central de la semana nueva de estrategia. Al blueprint se le añade una capa: marcar dónde nace cada dato y qué decisión se toma hoy a ciegas, para entrar a la semana 11 con el mapa hecho.</t>
  </si>
  <si>
    <t xml:space="preserve">Journey Maps - Datos en los negocios (1).pdf, Journey Maps - Datos en los negocios.pdf</t>
  </si>
  <si>
    <t xml:space="preserve">Material Actual/Actividades Organizadas/09_Casos_y_Procesos_de_Negocio/2024_Caso_Banco_Andino_Journey_Map/</t>
  </si>
  <si>
    <t xml:space="preserve">Modelos analíticos. Tipos de modelos y creación de valor</t>
  </si>
  <si>
    <t xml:space="preserve">Harvard Case - Data-Driven Management of Blue Detergent</t>
  </si>
  <si>
    <t xml:space="preserve">Caso de la semana bisagra: asignar familia de modelo, decisión, línea base y valor anual estimado a cada problema del catálogo.</t>
  </si>
  <si>
    <t xml:space="preserve">HBP_DataAnalytics_case_generic (2).pdf</t>
  </si>
  <si>
    <t xml:space="preserve">Material Actual/Actividades Organizadas/09_Casos_y_Procesos_de_Negocio/2024_Harvard_Case_Data_Driven_Management_of_Blue_Detergent/</t>
  </si>
  <si>
    <t xml:space="preserve">S06-C2 · Métricas · clase_12.ipynb (sección 2)</t>
  </si>
  <si>
    <t xml:space="preserve">Elegir la métrica correcta según la decisión. Se adelanta a la semana bisagra para instalar el criterio antes del primer modelo.</t>
  </si>
  <si>
    <t xml:space="preserve">S06-C2</t>
  </si>
  <si>
    <t xml:space="preserve">simuladores/simulador-train-test.html</t>
  </si>
  <si>
    <t xml:space="preserve">Muestra por qué se separa el conjunto de prueba antes de tocar nada.</t>
  </si>
  <si>
    <t xml:space="preserve">Modelos de pronóstico I. Regresión lineal simple</t>
  </si>
  <si>
    <t xml:space="preserve">Regresión Lineal Python</t>
  </si>
  <si>
    <t xml:space="preserve">Cuaderno de regresión simple con Advertising.csv. Añadir la línea base con DummyRegressor y el error porcentual. Es el cuaderno de la semana 12.</t>
  </si>
  <si>
    <t xml:space="preserve">Advertising.csv</t>
  </si>
  <si>
    <t xml:space="preserve">Material Actual/Actividades Organizadas/06_Regresion_y_Pronostico/2024_Regresion_Lineal_Python/</t>
  </si>
  <si>
    <t xml:space="preserve">Regresión publicidad, influencers y ventas 🦾🦾 en KNIME</t>
  </si>
  <si>
    <t xml:space="preserve">El encuadre de negocio (influencers) es mejor que el del cuaderno viejo. Rescatar el enunciado para la semana de regresión simple y montarlo sobre scikit-learn.</t>
  </si>
  <si>
    <t xml:space="preserve">Material Actual/Actividades Organizadas/06_Regresion_y_Pronostico/2025_Regresion_publicidad_influencers_y_ventas_en_KNIME/</t>
  </si>
  <si>
    <t xml:space="preserve">S05-C1 · Regresiones · clase_09.ipynb (secciones 1-2)</t>
  </si>
  <si>
    <t xml:space="preserve">Advertising.csv, regresión simple TV → Sales, lectura de coeficientes y reto de replicar con Radio. La sección 3 ya es múltiple: se deja para la semana 13.</t>
  </si>
  <si>
    <t xml:space="preserve">S05-C1</t>
  </si>
  <si>
    <t xml:space="preserve">simuladores/simulador-regresion-lineal.html</t>
  </si>
  <si>
    <t xml:space="preserve">Manipular la recta y ver el error. Abre la sesión del lunes.</t>
  </si>
  <si>
    <t xml:space="preserve">simuladores/simulador-regresion-3D-advertising.html</t>
  </si>
  <si>
    <t xml:space="preserve">El plano de regresión sobre el mismo dataset.</t>
  </si>
  <si>
    <t xml:space="preserve">Modelos de pronóstico II. Regresión múltiple y diagnóstico</t>
  </si>
  <si>
    <t xml:space="preserve">Regresión Lineal (2) Multiple</t>
  </si>
  <si>
    <t xml:space="preserve">Pasa a la semana 13 junto con VIF y diagnóstico de residuos, que antes no cabían.</t>
  </si>
  <si>
    <t xml:space="preserve">Advertising (1).csv</t>
  </si>
  <si>
    <t xml:space="preserve">Material Actual/Actividades Organizadas/06_Regresion_y_Pronostico/2024_Regresion_Lineal_2_Multiple/</t>
  </si>
  <si>
    <t xml:space="preserve">Regresión Lineal Parte 3</t>
  </si>
  <si>
    <t xml:space="preserve">Ejercicio de cierre del bloque de regresión múltiple. Verificar que el cuaderno de GitHub siga vivo y reencuadrarlo hacia el pronóstico del negocio del proyecto.</t>
  </si>
  <si>
    <t xml:space="preserve">Material Actual/Actividades Organizadas/06_Regresion_y_Pronostico/2024_Regresion_Lineal_Parte_3/</t>
  </si>
  <si>
    <t xml:space="preserve">Regresión Lineal con KNIME: Predicción de Emisiones CO2 🌍🚗</t>
  </si>
  <si>
    <t xml:space="preserve">Dataset alterno para regresión múltiple. Reescribir el flujo en scikit-learn; sirve de práctica extra de la semana 13.</t>
  </si>
  <si>
    <t xml:space="preserve">Material Actual/Actividades Organizadas/06_Regresion_y_Pronostico/2025_Regresion_Lineal_con_KNIME_Prediccion_de_Emisiones_CO2/</t>
  </si>
  <si>
    <t xml:space="preserve">Participación | Actividad en Clase: Regresión Múltiple</t>
  </si>
  <si>
    <t xml:space="preserve">Actividad de clase sin enunciado en el export. Redactar de nuevo como el laboratorio del miércoles de la semana 13, sobre el modelo múltiple del negocio del proyecto.</t>
  </si>
  <si>
    <t xml:space="preserve">Material Actual/Actividades Organizadas/06_Regresion_y_Pronostico/2025_Participacion_Actividad_en_Clase_Regresion_Multiple/</t>
  </si>
  <si>
    <t xml:space="preserve">S05-C1 · Regresiones · clase_09.ipynb (secciones 3-6 y 8)</t>
  </si>
  <si>
    <t xml:space="preserve">Múltiple con statsmodels, ajuste polinomial, VIF, diagnóstico de residuos y la chuleta de los cuatro supuestos del OLS.</t>
  </si>
  <si>
    <t xml:space="preserve">simuladores/simulador-vif.html</t>
  </si>
  <si>
    <t xml:space="preserve">Mover la correlación entre predictores y ver saltar el VIF.</t>
  </si>
  <si>
    <t xml:space="preserve">simuladores/simulador-overfitting.html</t>
  </si>
  <si>
    <t xml:space="preserve">El grado 10 que sube el R² de entrenamiento y hunde el de validación.</t>
  </si>
  <si>
    <t xml:space="preserve">casos/Caso_03_Scouting_FIFA.md</t>
  </si>
  <si>
    <t xml:space="preserve">Regresión con strings monetarios y multicolinealidad real. Práctica extra.</t>
  </si>
  <si>
    <t xml:space="preserve">Modelos de propensión. Clasificación aplicada a decisiones</t>
  </si>
  <si>
    <t xml:space="preserve">Supervised Learning - KNN | Telco Churn</t>
  </si>
  <si>
    <t xml:space="preserve">Caso de churn muy alineado con propensión. Cambiar KNN por LogisticRegression y DecisionTreeClassifier, y añadir matriz de confusión traducida a dinero y curva de ganancia.</t>
  </si>
  <si>
    <t xml:space="preserve">KNN Neighbors.pdf</t>
  </si>
  <si>
    <t xml:space="preserve">Material Actual/Actividades Organizadas/07_Clasificacion_y_Propension/2024_Supervised_Learning_KNN_Telco_Churn/</t>
  </si>
  <si>
    <t xml:space="preserve">Predicción de Abandono Laboral en KNIME 👨🏽‍🔧</t>
  </si>
  <si>
    <t xml:space="preserve">El mejor enunciado heredado: ya pide comparativa de modelos, métricas y recomendación de una página, y ya admite IA generativa. Solo hay que portar el flujo a scikit-learn y sustituir SMOTE por manejo de umbral.</t>
  </si>
  <si>
    <t xml:space="preserve">Material Actual/Actividades Organizadas/07_Clasificacion_y_Propension/2025_Prediccion_de_Abandono_Laboral_en_KNIME/</t>
  </si>
  <si>
    <t xml:space="preserve">S05-C2 · Regresión Logística · clase_10.ipynb</t>
  </si>
  <si>
    <t xml:space="preserve">Sigmoide, log-odds, umbral ajustado, regularización y validación cruzada. Su sección 5 es SMOTE: en ADM 2003 se sustituye por manejo de umbral y matriz de confusión traducida a dinero.</t>
  </si>
  <si>
    <t xml:space="preserve">S05-C2</t>
  </si>
  <si>
    <t xml:space="preserve">S06-C1 · Árbol de Decisión · clase_11.ipynb</t>
  </si>
  <si>
    <t xml:space="preserve">Gini paso a paso, poda, GridSearchCV, importancia de variables y comparación contra logística.</t>
  </si>
  <si>
    <t xml:space="preserve">S06-C1</t>
  </si>
  <si>
    <t xml:space="preserve">S06-C2 · Métricas · clase_12.ipynb</t>
  </si>
  <si>
    <t xml:space="preserve">Matriz de confusión, ROC-AUC y comparación robusta entre modelos.</t>
  </si>
  <si>
    <t xml:space="preserve">simuladores/simulador-confusion-matrix.html</t>
  </si>
  <si>
    <t xml:space="preserve">Mover el umbral y ver el efecto en falsos positivos y negativos.</t>
  </si>
  <si>
    <t xml:space="preserve">casos/Caso_08_Fraude_Tarjetas.md</t>
  </si>
  <si>
    <t xml:space="preserve">Desbalance extremo y ajuste de umbral, para el ejercicio de focalización con presupuesto.</t>
  </si>
  <si>
    <t xml:space="preserve">De la predicción a la decisión. Ética y gobernanza del dato</t>
  </si>
  <si>
    <t xml:space="preserve">— SIN MATERIAL —</t>
  </si>
  <si>
    <t xml:space="preserve">CREAR</t>
  </si>
  <si>
    <t xml:space="preserve">Hay que construir la sesión desde cero.</t>
  </si>
  <si>
    <t xml:space="preserve">Cierre del curso y presentación final</t>
  </si>
  <si>
    <t xml:space="preserve">Evaluación 360</t>
  </si>
  <si>
    <t xml:space="preserve">Formularios de Google por grupo. Rehacer los enlaces con los grupos nuevos del semestre.</t>
  </si>
  <si>
    <t xml:space="preserve">Material Actual/Actividades Organizadas/00_Gestion_de_Curso_y_Equipos/2024_Evaluacion_360/</t>
  </si>
  <si>
    <t xml:space="preserve">Proyecto Final - Aplicación de la Analítica de Datos en Procesos Empresariales (EN VIDEO)</t>
  </si>
  <si>
    <t xml:space="preserve">Formato video de 8 minutos. El cronograma nuevo pide defensa ante panel: conservar la rúbrica y cambiar el formato de entrega.</t>
  </si>
  <si>
    <t xml:space="preserve">Material Actual/Actividades Organizadas/10_Proyecto_Integrador/2024_Proyecto_Final_Aplicacion_de_la_Analitica_de_Datos_en_Procesos_Empresa/</t>
  </si>
  <si>
    <t xml:space="preserve">Proyecto Final - Aplicación de la Analítica de Datos en Procesos Empresariales</t>
  </si>
  <si>
    <t xml:space="preserve">Enunciado más completo. Actualizar el entregable a cuaderno reproducible más recomendación de una página, y exigir línea base declarada.</t>
  </si>
  <si>
    <t xml:space="preserve">Material Actual/Actividades Organizadas/10_Proyecto_Integrador/2025_Proyecto_Final_Aplicacion_de_la_Analitica_de_Datos_en_Procesos_Empresa/</t>
  </si>
  <si>
    <t xml:space="preserve">SF · Presentaciones finales · clase_17.ipynb</t>
  </si>
  <si>
    <t xml:space="preserve">Data storytelling, pirámide de Minto, presentación de diez minutos, preguntas del tribunal y rúbrica resumida. Se adopta completo.</t>
  </si>
  <si>
    <t xml:space="preserve">SF</t>
  </si>
  <si>
    <t xml:space="preserve">1-3</t>
  </si>
  <si>
    <t xml:space="preserve">Transversal / nivelación</t>
  </si>
  <si>
    <t xml:space="preserve">Cuaderno Introducción a Python</t>
  </si>
  <si>
    <t xml:space="preserve">Cuaderno Colab de fundamentos. En el cronograma nuevo no hay semana de sintaxis: pasa a material de nivelación opcional y no calificado de las semanas 1 a 3, junto a DataCamp Introduction to Python.</t>
  </si>
  <si>
    <t xml:space="preserve">Material Actual/Actividades Organizadas/01_Fundamentos_de_Python/2024_Cuaderno_Introduccion_a_Python/</t>
  </si>
  <si>
    <t xml:space="preserve">Python - Introducción a python, parte 2</t>
  </si>
  <si>
    <t xml:space="preserve">Estructuras básicas de datos. Igual que el anterior: material de nivelación opcional y no calificado de las semanas 1 a 3.</t>
  </si>
  <si>
    <t xml:space="preserve">Material Actual/Actividades Organizadas/01_Fundamentos_de_Python/2024_Python_Introduccion_a_python_parte_2/</t>
  </si>
  <si>
    <t xml:space="preserve">Transversal</t>
  </si>
  <si>
    <t xml:space="preserve">Certificaciones Datacamp</t>
  </si>
  <si>
    <t xml:space="preserve">Ruta vieja: Excel, Tableau e Introduction to Python. Reemplazar por la ruta Python del cronograma nuevo (pandas, joining data, matplotlib, statsmodels, scikit-learn).</t>
  </si>
  <si>
    <t xml:space="preserve">Material Actual/Actividades Organizadas/11_Certificaciones_DataCamp/2024_Certificaciones_Datacamp/</t>
  </si>
  <si>
    <t xml:space="preserve">Certificado Datacamp 1</t>
  </si>
  <si>
    <t xml:space="preserve">Contenedor de entrega genérico. Renombrar al curso concreto de cada semana.</t>
  </si>
  <si>
    <t xml:space="preserve">Material Actual/Actividades Organizadas/11_Certificaciones_DataCamp/2025_Certificado_Datacamp_1/</t>
  </si>
  <si>
    <t xml:space="preserve">Certificado datacamp 2</t>
  </si>
  <si>
    <t xml:space="preserve">Material Actual/Actividades Organizadas/11_Certificaciones_DataCamp/2025_Certificado_datacamp_2/</t>
  </si>
  <si>
    <t xml:space="preserve">Certificado datacamp 3</t>
  </si>
  <si>
    <t xml:space="preserve">Material Actual/Actividades Organizadas/11_Certificaciones_DataCamp/2025_Certificado_datacamp_3/</t>
  </si>
  <si>
    <t xml:space="preserve">Certificado 4 Datacamp</t>
  </si>
  <si>
    <t xml:space="preserve">Contenedor de entrega genérico. El cronograma nuevo pide ocho certificaciones y solo hay cinco carpetas de entrega: faltan tres.</t>
  </si>
  <si>
    <t xml:space="preserve">Material Actual/Actividades Organizadas/11_Certificaciones_DataCamp/2025_Certificado_4_Datacamp/</t>
  </si>
  <si>
    <t xml:space="preserve">Actividad</t>
  </si>
  <si>
    <t xml:space="preserve">Curso de origen</t>
  </si>
  <si>
    <t xml:space="preserve">Bloque temático</t>
  </si>
  <si>
    <t xml:space="preserve">Motivo</t>
  </si>
  <si>
    <t xml:space="preserve">Carpeta</t>
  </si>
  <si>
    <t xml:space="preserve">Gestion de Curso y Equipos</t>
  </si>
  <si>
    <t xml:space="preserve">Duplicado del de 202410 y sin enunciado en el export. Conservar solo una versión.</t>
  </si>
  <si>
    <t xml:space="preserve">Material Actual/Actividades Organizadas/00_Gestion_de_Curso_y_Equipos/2025_Contrato_de_Grupo/</t>
  </si>
  <si>
    <t xml:space="preserve">Duplicado sin enunciado. Conservar la versión 202410.</t>
  </si>
  <si>
    <t xml:space="preserve">Material Actual/Actividades Organizadas/00_Gestion_de_Curso_y_Equipos/2025_Evaluacion_360/</t>
  </si>
  <si>
    <t xml:space="preserve">Giveaway Club de Casos</t>
  </si>
  <si>
    <t xml:space="preserve">Actividad promocional de un club estudiantil, sin objetivo de aprendizaje.</t>
  </si>
  <si>
    <t xml:space="preserve">Material Actual/Actividades Organizadas/00_Gestion_de_Curso_y_Equipos/2024_Giveaway_Club_de_Casos/</t>
  </si>
  <si>
    <t xml:space="preserve">Actividad promocional, sin objetivo de aprendizaje.</t>
  </si>
  <si>
    <t xml:space="preserve">Material Actual/Actividades Organizadas/00_Gestion_de_Curso_y_Equipos/2025_Giveaway_Club_de_Casos/</t>
  </si>
  <si>
    <t xml:space="preserve">Punto Extra | Asistencia: Jornadas de Salud Mental</t>
  </si>
  <si>
    <t xml:space="preserve">Punto extra administrativo, no es contenido del curso.</t>
  </si>
  <si>
    <t xml:space="preserve">Material Actual/Actividades Organizadas/00_Gestion_de_Curso_y_Equipos/2025_Punto_Extra_Asistencia_Jornadas_de_Salud_Mental/</t>
  </si>
  <si>
    <t xml:space="preserve">Sin título</t>
  </si>
  <si>
    <t xml:space="preserve">Carpeta de entrega vacía en el export, sin título ni enunciado.</t>
  </si>
  <si>
    <t xml:space="preserve">Material Actual/Actividades Organizadas/00_Gestion_de_Curso_y_Equipos/2024_Sin_titulo/</t>
  </si>
  <si>
    <t xml:space="preserve">Sistema bancario en Python</t>
  </si>
  <si>
    <t xml:space="preserve">Fundamentos de Python</t>
  </si>
  <si>
    <t xml:space="preserve">Ejercicio de programación pura (diccionarios, listas, funciones). El curso nuevo es de análisis con pandas, no de fundamentos de programación. Guardar como reto opcional.</t>
  </si>
  <si>
    <t xml:space="preserve">Material Actual/Actividades Organizadas/01_Fundamentos_de_Python/2024_Sistema_bancario_en_Python/</t>
  </si>
  <si>
    <t xml:space="preserve">Taller 03 | Estadística Descriptiva en KNIME</t>
  </si>
  <si>
    <t xml:space="preserve">Estadistica Descriptiva</t>
  </si>
  <si>
    <t xml:space="preserve">Versión KNIME del mismo contenido y sin enunciado en el export. Queda cubierto por el cuaderno de pandas de 202410.</t>
  </si>
  <si>
    <t xml:space="preserve">Material Actual/Actividades Organizadas/03_Estadistica_Descriptiva/2025_Taller_03_Estadistica_Descriptiva_en_KNIME/</t>
  </si>
  <si>
    <t xml:space="preserve">Visualizacion de Datos</t>
  </si>
  <si>
    <t xml:space="preserve">Duplicado del de 202410, mismo adjunto 2.1 EXERCISE.xlsx.</t>
  </si>
  <si>
    <t xml:space="preserve">Material Actual/Actividades Organizadas/04_Visualizacion_de_Datos/2025_Data_visualization_I/</t>
  </si>
  <si>
    <t xml:space="preserve">Participación | Data Visualization II – Diseño y Proceso</t>
  </si>
  <si>
    <t xml:space="preserve">Duplicado en formato participación, sin enunciado en el export.</t>
  </si>
  <si>
    <t xml:space="preserve">Material Actual/Actividades Organizadas/04_Visualizacion_de_Datos/2025_Participacion_Data_Visualization_II_Diseno_y_Proceso/</t>
  </si>
  <si>
    <t xml:space="preserve">Participación | Data Visualization III – Estado de Resultados</t>
  </si>
  <si>
    <t xml:space="preserve">Duplicado, mismo adjunto 2.2 EXERCISE.xlsx.</t>
  </si>
  <si>
    <t xml:space="preserve">Material Actual/Actividades Organizadas/04_Visualizacion_de_Datos/2025_Participacion_Data_Visualization_III_Estado_de_Resultados/</t>
  </si>
  <si>
    <t xml:space="preserve">Dashboards y Tableros</t>
  </si>
  <si>
    <t xml:space="preserve">Duplicado sin enunciado.</t>
  </si>
  <si>
    <t xml:space="preserve">Material Actual/Actividades Organizadas/05_Dashboards_y_Tableros/2025_Dashboard_de_Superstore_en_Tableau/</t>
  </si>
  <si>
    <t xml:space="preserve">Regresión Lineal Simple KNIME</t>
  </si>
  <si>
    <t xml:space="preserve">Regresion y Pronostico</t>
  </si>
  <si>
    <t xml:space="preserve">Mismo dataset Advertising.csv en KNIME. Cubierto por el cuaderno de 202410.</t>
  </si>
  <si>
    <t xml:space="preserve">Material Actual/Actividades Organizadas/06_Regresion_y_Pronostico/2025_Regresion_Lineal_Simple_KNIME/</t>
  </si>
  <si>
    <t xml:space="preserve">Casos y Procesos de Negocio</t>
  </si>
  <si>
    <t xml:space="preserve">Duplicado exacto, mismo PDF.</t>
  </si>
  <si>
    <t xml:space="preserve">Material Actual/Actividades Organizadas/09_Casos_y_Procesos_de_Negocio/2025_Harvard_Case_Data_Driven_Management_of_Blue_Detergent/</t>
  </si>
  <si>
    <t xml:space="preserve">Use Strategic Thinking to Create the Life You Want</t>
  </si>
  <si>
    <t xml:space="preserve">Desarrollo Personal</t>
  </si>
  <si>
    <t xml:space="preserve">Artículo de desarrollo personal (BCG/HBR). No tiene espacio temático en el cronograma nuevo; conservar como actividad opcional de cierre si se quiere.</t>
  </si>
  <si>
    <t xml:space="preserve">Material Actual/Actividades Organizadas/12_Desarrollo_Personal/2024_Use_Strategic_Thinking_to_Create_the_Life_You_Want/</t>
  </si>
  <si>
    <t xml:space="preserve">Duplicado de la anterior.</t>
  </si>
  <si>
    <t xml:space="preserve">Material Actual/Actividades Organizadas/12_Desarrollo_Personal/2025_Use_Strategic_Thinking_to_Create_the_Life_You_Want/</t>
  </si>
  <si>
    <t xml:space="preserve">S01-C2 · Fundamentos de Python I · clase_02.ipynb</t>
  </si>
  <si>
    <t xml:space="preserve">Sintaxis y tipos primitivos. ADM 2003 no tiene semana de fundamentos: pasa a material de nivelación opcional.</t>
  </si>
  <si>
    <t xml:space="preserve">S02-C1 · Fundamentos de Python II · clase_03.ipynb</t>
  </si>
  <si>
    <t xml:space="preserve">Control de flujo, colecciones y funciones. Nivelación opcional.</t>
  </si>
  <si>
    <t xml:space="preserve">S03-C1 · OOP · clase_05.ipynb</t>
  </si>
  <si>
    <t xml:space="preserve">Programación orientada a objetos. Fuera de alcance para un curso de análisis de negocio.</t>
  </si>
  <si>
    <t xml:space="preserve">S07-C1 · Ensembles y Random Forest · clase_13.ipynb</t>
  </si>
  <si>
    <t xml:space="preserve">Bagging, boosting y OOB. Excede el bloque de propensión de ADM 2003; queda como lectura de ampliación.</t>
  </si>
  <si>
    <t xml:space="preserve">S08-C2 · APIs con FastAPI · clase_16.ipynb</t>
  </si>
  <si>
    <t xml:space="preserve">Poner un modelo en producción. El entregable de ADM 2003 es un cuaderno reproducible, no un servicio.</t>
  </si>
  <si>
    <t xml:space="preserve">Casos 04, 05, 07, 09 y 10</t>
  </si>
  <si>
    <t xml:space="preserve">Movilidad NYC, sismicidad, Spotify, OLIST y Stack Overflow. Buenos casos, pero sin encaje en las semanas de ADM 2003; quedan como banco alterno para el proyecto integrador.</t>
  </si>
  <si>
    <t xml:space="preserve">Puntos</t>
  </si>
  <si>
    <t xml:space="preserve">Enunciado en el export</t>
  </si>
  <si>
    <t xml:space="preserve">Semana v2</t>
  </si>
  <si>
    <t xml:space="preserve">Sí</t>
  </si>
  <si>
    <t xml:space="preserve">11</t>
  </si>
  <si>
    <t xml:space="preserve">10</t>
  </si>
  <si>
    <t xml:space="preserve">No</t>
  </si>
  <si>
    <t xml:space="preserve">DESCARTAR</t>
  </si>
  <si>
    <t xml:space="preserve">1</t>
  </si>
  <si>
    <t xml:space="preserve">Certificaciones DataCamp</t>
  </si>
  <si>
    <t xml:space="preserve">Clasificacion y Propension</t>
  </si>
  <si>
    <t xml:space="preserve">14</t>
  </si>
  <si>
    <t xml:space="preserve">7</t>
  </si>
  <si>
    <t xml:space="preserve">8</t>
  </si>
  <si>
    <t xml:space="preserve">MyLifeStrategy FORM.pdf, SLA - SLU.xlsx, Use Strategic Thinking to Create the Life You Want.pdf</t>
  </si>
  <si>
    <t xml:space="preserve">3</t>
  </si>
  <si>
    <t xml:space="preserve">16</t>
  </si>
  <si>
    <t xml:space="preserve">Primer Contacto con Datos y EDA</t>
  </si>
  <si>
    <t xml:space="preserve">2</t>
  </si>
  <si>
    <t xml:space="preserve">4</t>
  </si>
  <si>
    <t xml:space="preserve">5</t>
  </si>
  <si>
    <t xml:space="preserve">Proyecto Integrador</t>
  </si>
  <si>
    <t xml:space="preserve">12</t>
  </si>
  <si>
    <t xml:space="preserve">13</t>
  </si>
  <si>
    <t xml:space="preserve">Segmentacion RFM</t>
  </si>
  <si>
    <t xml:space="preserve">6</t>
  </si>
  <si>
    <t xml:space="preserve">2.2 EXERCISE.xlsx, 2.4 EXERCISE.xlsx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</si>
</sst>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CC99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6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COUNTA('Inventario D2L'!A2:A54)</f>
        <v>53</v>
      </c>
    </row>
    <row r="6" customFormat="false" ht="15" hidden="false" customHeight="false" outlineLevel="0" collapsed="false">
      <c r="A6" s="4" t="s">
        <v>5</v>
      </c>
      <c r="B6" s="5" t="n">
        <f aca="false">COUNTIF('Inventario D2L'!H2:H54,"REUTILIZABLE")</f>
        <v>12</v>
      </c>
    </row>
    <row r="7" customFormat="false" ht="15" hidden="false" customHeight="false" outlineLevel="0" collapsed="false">
      <c r="A7" s="4" t="s">
        <v>6</v>
      </c>
      <c r="B7" s="5" t="n">
        <f aca="false">COUNTIF('Inventario D2L'!H2:H54,"ADAPTAR")</f>
        <v>25</v>
      </c>
    </row>
    <row r="8" customFormat="false" ht="15" hidden="false" customHeight="false" outlineLevel="0" collapsed="false">
      <c r="A8" s="4" t="s">
        <v>7</v>
      </c>
      <c r="B8" s="5" t="n">
        <f aca="false">COUNTIF('Inventario D2L'!H2:H54,"DESCARTAR")</f>
        <v>16</v>
      </c>
    </row>
    <row r="9" customFormat="false" ht="15" hidden="false" customHeight="false" outlineLevel="0" collapsed="false">
      <c r="A9" s="4" t="s">
        <v>8</v>
      </c>
      <c r="B9" s="5" t="n">
        <f aca="false">COUNTIF('Mapeo por semana'!F2:F80,"SEMINARIO PYTHON")</f>
        <v>27</v>
      </c>
    </row>
    <row r="10" customFormat="false" ht="15" hidden="false" customHeight="false" outlineLevel="0" collapsed="false">
      <c r="A10" s="4" t="s">
        <v>9</v>
      </c>
      <c r="B10" s="5" t="n">
        <f aca="false">COUNTIF('Mapeo por semana'!F2:F80,"CREAR")</f>
        <v>1</v>
      </c>
    </row>
    <row r="12" customFormat="false" ht="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4" t="s">
        <v>11</v>
      </c>
    </row>
    <row r="14" customFormat="false" ht="15" hidden="false" customHeight="false" outlineLevel="0" collapsed="false">
      <c r="A14" s="4" t="s">
        <v>12</v>
      </c>
    </row>
    <row r="15" customFormat="false" ht="15" hidden="false" customHeight="false" outlineLevel="0" collapsed="false">
      <c r="A15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66"/>
    <col collapsed="false" customWidth="true" hidden="false" outlineLevel="0" max="8" min="8" style="0" width="26"/>
    <col collapsed="false" customWidth="true" hidden="false" outlineLevel="0" max="9" min="9" style="0" width="50"/>
  </cols>
  <sheetData>
    <row r="1" customFormat="false" ht="30" hidden="false" customHeight="true" outlineLevel="0" collapsed="false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</row>
    <row r="2" customFormat="false" ht="35.05" hidden="false" customHeight="false" outlineLevel="0" collapsed="false">
      <c r="A2" s="7" t="n">
        <v>1</v>
      </c>
      <c r="B2" s="8" t="s">
        <v>23</v>
      </c>
      <c r="C2" s="7" t="s">
        <v>24</v>
      </c>
      <c r="D2" s="8" t="s">
        <v>25</v>
      </c>
      <c r="E2" s="7" t="s">
        <v>26</v>
      </c>
      <c r="F2" s="7" t="s">
        <v>27</v>
      </c>
      <c r="G2" s="8" t="s">
        <v>28</v>
      </c>
      <c r="H2" s="8" t="s">
        <v>29</v>
      </c>
      <c r="I2" s="8" t="s">
        <v>30</v>
      </c>
    </row>
    <row r="3" customFormat="false" ht="46.25" hidden="false" customHeight="false" outlineLevel="0" collapsed="false">
      <c r="A3" s="9" t="n">
        <v>1</v>
      </c>
      <c r="B3" s="10" t="s">
        <v>23</v>
      </c>
      <c r="C3" s="9" t="s">
        <v>24</v>
      </c>
      <c r="D3" s="10" t="s">
        <v>31</v>
      </c>
      <c r="E3" s="9" t="s">
        <v>32</v>
      </c>
      <c r="F3" s="9" t="s">
        <v>33</v>
      </c>
      <c r="G3" s="10" t="s">
        <v>34</v>
      </c>
      <c r="H3" s="10" t="s">
        <v>29</v>
      </c>
      <c r="I3" s="10" t="s">
        <v>35</v>
      </c>
    </row>
    <row r="4" customFormat="false" ht="23.85" hidden="false" customHeight="false" outlineLevel="0" collapsed="false">
      <c r="A4" s="11" t="n">
        <v>1</v>
      </c>
      <c r="B4" s="12" t="s">
        <v>23</v>
      </c>
      <c r="C4" s="11" t="s">
        <v>36</v>
      </c>
      <c r="D4" s="12" t="s">
        <v>37</v>
      </c>
      <c r="E4" s="11" t="s">
        <v>38</v>
      </c>
      <c r="F4" s="11" t="s">
        <v>39</v>
      </c>
      <c r="G4" s="12" t="s">
        <v>40</v>
      </c>
      <c r="H4" s="12" t="s">
        <v>29</v>
      </c>
      <c r="I4" s="12" t="s">
        <v>41</v>
      </c>
    </row>
    <row r="5" customFormat="false" ht="35.05" hidden="false" customHeight="false" outlineLevel="0" collapsed="false">
      <c r="A5" s="9" t="n">
        <v>2</v>
      </c>
      <c r="B5" s="10" t="s">
        <v>42</v>
      </c>
      <c r="C5" s="9" t="s">
        <v>24</v>
      </c>
      <c r="D5" s="10" t="s">
        <v>43</v>
      </c>
      <c r="E5" s="9" t="s">
        <v>32</v>
      </c>
      <c r="F5" s="9" t="s">
        <v>33</v>
      </c>
      <c r="G5" s="10" t="s">
        <v>44</v>
      </c>
      <c r="H5" s="10" t="s">
        <v>29</v>
      </c>
      <c r="I5" s="10" t="s">
        <v>45</v>
      </c>
    </row>
    <row r="6" customFormat="false" ht="23.85" hidden="false" customHeight="false" outlineLevel="0" collapsed="false">
      <c r="A6" s="11" t="n">
        <v>2</v>
      </c>
      <c r="B6" s="12" t="s">
        <v>42</v>
      </c>
      <c r="C6" s="11" t="s">
        <v>36</v>
      </c>
      <c r="D6" s="12" t="s">
        <v>46</v>
      </c>
      <c r="E6" s="11" t="s">
        <v>38</v>
      </c>
      <c r="F6" s="11" t="s">
        <v>39</v>
      </c>
      <c r="G6" s="12" t="s">
        <v>47</v>
      </c>
      <c r="H6" s="12" t="s">
        <v>29</v>
      </c>
      <c r="I6" s="12" t="s">
        <v>48</v>
      </c>
    </row>
    <row r="7" customFormat="false" ht="23.85" hidden="false" customHeight="false" outlineLevel="0" collapsed="false">
      <c r="A7" s="11" t="n">
        <v>2</v>
      </c>
      <c r="B7" s="12" t="s">
        <v>42</v>
      </c>
      <c r="C7" s="11" t="s">
        <v>36</v>
      </c>
      <c r="D7" s="12" t="s">
        <v>49</v>
      </c>
      <c r="E7" s="11" t="s">
        <v>38</v>
      </c>
      <c r="F7" s="11" t="s">
        <v>39</v>
      </c>
      <c r="G7" s="12" t="s">
        <v>50</v>
      </c>
      <c r="H7" s="12" t="s">
        <v>29</v>
      </c>
      <c r="I7" s="12" t="s">
        <v>51</v>
      </c>
    </row>
    <row r="8" customFormat="false" ht="35.05" hidden="false" customHeight="false" outlineLevel="0" collapsed="false">
      <c r="A8" s="9" t="n">
        <v>3</v>
      </c>
      <c r="B8" s="10" t="s">
        <v>52</v>
      </c>
      <c r="C8" s="9" t="s">
        <v>24</v>
      </c>
      <c r="D8" s="10" t="s">
        <v>53</v>
      </c>
      <c r="E8" s="9" t="s">
        <v>32</v>
      </c>
      <c r="F8" s="9" t="s">
        <v>33</v>
      </c>
      <c r="G8" s="10" t="s">
        <v>54</v>
      </c>
      <c r="H8" s="10" t="s">
        <v>55</v>
      </c>
      <c r="I8" s="10" t="s">
        <v>56</v>
      </c>
    </row>
    <row r="9" customFormat="false" ht="35.05" hidden="false" customHeight="false" outlineLevel="0" collapsed="false">
      <c r="A9" s="7" t="n">
        <v>3</v>
      </c>
      <c r="B9" s="8" t="s">
        <v>52</v>
      </c>
      <c r="C9" s="7" t="s">
        <v>24</v>
      </c>
      <c r="D9" s="8" t="s">
        <v>57</v>
      </c>
      <c r="E9" s="7" t="s">
        <v>26</v>
      </c>
      <c r="F9" s="7" t="s">
        <v>27</v>
      </c>
      <c r="G9" s="8" t="s">
        <v>58</v>
      </c>
      <c r="H9" s="8" t="s">
        <v>59</v>
      </c>
      <c r="I9" s="8" t="s">
        <v>60</v>
      </c>
    </row>
    <row r="10" customFormat="false" ht="23.85" hidden="false" customHeight="false" outlineLevel="0" collapsed="false">
      <c r="A10" s="11" t="n">
        <v>3</v>
      </c>
      <c r="B10" s="12" t="s">
        <v>52</v>
      </c>
      <c r="C10" s="11" t="s">
        <v>36</v>
      </c>
      <c r="D10" s="12" t="s">
        <v>61</v>
      </c>
      <c r="E10" s="11" t="s">
        <v>38</v>
      </c>
      <c r="F10" s="11" t="s">
        <v>39</v>
      </c>
      <c r="G10" s="12" t="s">
        <v>62</v>
      </c>
      <c r="H10" s="12" t="s">
        <v>29</v>
      </c>
      <c r="I10" s="12" t="s">
        <v>63</v>
      </c>
    </row>
    <row r="11" customFormat="false" ht="35.05" hidden="false" customHeight="false" outlineLevel="0" collapsed="false">
      <c r="A11" s="9" t="n">
        <v>4</v>
      </c>
      <c r="B11" s="10" t="s">
        <v>64</v>
      </c>
      <c r="C11" s="9" t="s">
        <v>24</v>
      </c>
      <c r="D11" s="10" t="s">
        <v>65</v>
      </c>
      <c r="E11" s="9" t="s">
        <v>32</v>
      </c>
      <c r="F11" s="9" t="s">
        <v>33</v>
      </c>
      <c r="G11" s="10" t="s">
        <v>66</v>
      </c>
      <c r="H11" s="10" t="s">
        <v>29</v>
      </c>
      <c r="I11" s="10" t="s">
        <v>67</v>
      </c>
    </row>
    <row r="12" customFormat="false" ht="46.25" hidden="false" customHeight="false" outlineLevel="0" collapsed="false">
      <c r="A12" s="7" t="n">
        <v>4</v>
      </c>
      <c r="B12" s="8" t="s">
        <v>64</v>
      </c>
      <c r="C12" s="7" t="s">
        <v>24</v>
      </c>
      <c r="D12" s="8" t="s">
        <v>68</v>
      </c>
      <c r="E12" s="7" t="s">
        <v>26</v>
      </c>
      <c r="F12" s="7" t="s">
        <v>27</v>
      </c>
      <c r="G12" s="8" t="s">
        <v>69</v>
      </c>
      <c r="H12" s="8" t="s">
        <v>29</v>
      </c>
      <c r="I12" s="8" t="s">
        <v>70</v>
      </c>
    </row>
    <row r="13" customFormat="false" ht="35.05" hidden="false" customHeight="false" outlineLevel="0" collapsed="false">
      <c r="A13" s="7" t="n">
        <v>4</v>
      </c>
      <c r="B13" s="8" t="s">
        <v>64</v>
      </c>
      <c r="C13" s="7" t="s">
        <v>24</v>
      </c>
      <c r="D13" s="8" t="s">
        <v>71</v>
      </c>
      <c r="E13" s="7" t="s">
        <v>32</v>
      </c>
      <c r="F13" s="7" t="s">
        <v>27</v>
      </c>
      <c r="G13" s="8" t="s">
        <v>72</v>
      </c>
      <c r="H13" s="8" t="s">
        <v>29</v>
      </c>
      <c r="I13" s="8" t="s">
        <v>73</v>
      </c>
    </row>
    <row r="14" customFormat="false" ht="23.85" hidden="false" customHeight="false" outlineLevel="0" collapsed="false">
      <c r="A14" s="11" t="n">
        <v>4</v>
      </c>
      <c r="B14" s="12" t="s">
        <v>64</v>
      </c>
      <c r="C14" s="11" t="s">
        <v>36</v>
      </c>
      <c r="D14" s="12" t="s">
        <v>74</v>
      </c>
      <c r="E14" s="11" t="s">
        <v>38</v>
      </c>
      <c r="F14" s="11" t="s">
        <v>39</v>
      </c>
      <c r="G14" s="12" t="s">
        <v>75</v>
      </c>
      <c r="H14" s="12" t="s">
        <v>29</v>
      </c>
      <c r="I14" s="12" t="s">
        <v>76</v>
      </c>
    </row>
    <row r="15" customFormat="false" ht="46.25" hidden="false" customHeight="false" outlineLevel="0" collapsed="false">
      <c r="A15" s="9" t="n">
        <v>5</v>
      </c>
      <c r="B15" s="10" t="s">
        <v>77</v>
      </c>
      <c r="C15" s="9" t="s">
        <v>24</v>
      </c>
      <c r="D15" s="10" t="s">
        <v>78</v>
      </c>
      <c r="E15" s="9" t="s">
        <v>32</v>
      </c>
      <c r="F15" s="9" t="s">
        <v>33</v>
      </c>
      <c r="G15" s="10" t="s">
        <v>79</v>
      </c>
      <c r="H15" s="10" t="s">
        <v>29</v>
      </c>
      <c r="I15" s="10" t="s">
        <v>80</v>
      </c>
    </row>
    <row r="16" customFormat="false" ht="35.05" hidden="false" customHeight="false" outlineLevel="0" collapsed="false">
      <c r="A16" s="11" t="n">
        <v>5</v>
      </c>
      <c r="B16" s="12" t="s">
        <v>77</v>
      </c>
      <c r="C16" s="11" t="s">
        <v>36</v>
      </c>
      <c r="D16" s="12" t="s">
        <v>81</v>
      </c>
      <c r="E16" s="11" t="s">
        <v>38</v>
      </c>
      <c r="F16" s="11" t="s">
        <v>39</v>
      </c>
      <c r="G16" s="12" t="s">
        <v>82</v>
      </c>
      <c r="H16" s="12" t="s">
        <v>29</v>
      </c>
      <c r="I16" s="12" t="s">
        <v>76</v>
      </c>
    </row>
    <row r="17" customFormat="false" ht="35.05" hidden="false" customHeight="false" outlineLevel="0" collapsed="false">
      <c r="A17" s="7" t="n">
        <v>6</v>
      </c>
      <c r="B17" s="8" t="s">
        <v>83</v>
      </c>
      <c r="C17" s="7" t="s">
        <v>24</v>
      </c>
      <c r="D17" s="8" t="s">
        <v>84</v>
      </c>
      <c r="E17" s="7" t="s">
        <v>26</v>
      </c>
      <c r="F17" s="7" t="s">
        <v>27</v>
      </c>
      <c r="G17" s="8" t="s">
        <v>85</v>
      </c>
      <c r="H17" s="8" t="s">
        <v>86</v>
      </c>
      <c r="I17" s="8" t="s">
        <v>87</v>
      </c>
    </row>
    <row r="18" customFormat="false" ht="35.05" hidden="false" customHeight="false" outlineLevel="0" collapsed="false">
      <c r="A18" s="7" t="n">
        <v>6</v>
      </c>
      <c r="B18" s="8" t="s">
        <v>83</v>
      </c>
      <c r="C18" s="7" t="s">
        <v>24</v>
      </c>
      <c r="D18" s="8" t="s">
        <v>88</v>
      </c>
      <c r="E18" s="7" t="s">
        <v>26</v>
      </c>
      <c r="F18" s="7" t="s">
        <v>27</v>
      </c>
      <c r="G18" s="8" t="s">
        <v>89</v>
      </c>
      <c r="H18" s="8" t="s">
        <v>90</v>
      </c>
      <c r="I18" s="8" t="s">
        <v>91</v>
      </c>
    </row>
    <row r="19" customFormat="false" ht="35.05" hidden="false" customHeight="false" outlineLevel="0" collapsed="false">
      <c r="A19" s="7" t="n">
        <v>6</v>
      </c>
      <c r="B19" s="8" t="s">
        <v>83</v>
      </c>
      <c r="C19" s="7" t="s">
        <v>24</v>
      </c>
      <c r="D19" s="8" t="s">
        <v>92</v>
      </c>
      <c r="E19" s="7" t="s">
        <v>26</v>
      </c>
      <c r="F19" s="7" t="s">
        <v>27</v>
      </c>
      <c r="G19" s="8" t="s">
        <v>93</v>
      </c>
      <c r="H19" s="8" t="s">
        <v>94</v>
      </c>
      <c r="I19" s="8" t="s">
        <v>95</v>
      </c>
    </row>
    <row r="20" customFormat="false" ht="35.05" hidden="false" customHeight="false" outlineLevel="0" collapsed="false">
      <c r="A20" s="9" t="n">
        <v>6</v>
      </c>
      <c r="B20" s="10" t="s">
        <v>83</v>
      </c>
      <c r="C20" s="9" t="s">
        <v>24</v>
      </c>
      <c r="D20" s="10" t="s">
        <v>96</v>
      </c>
      <c r="E20" s="9" t="s">
        <v>32</v>
      </c>
      <c r="F20" s="9" t="s">
        <v>33</v>
      </c>
      <c r="G20" s="10" t="s">
        <v>97</v>
      </c>
      <c r="H20" s="10" t="s">
        <v>29</v>
      </c>
      <c r="I20" s="10" t="s">
        <v>98</v>
      </c>
    </row>
    <row r="21" customFormat="false" ht="35.05" hidden="false" customHeight="false" outlineLevel="0" collapsed="false">
      <c r="A21" s="11" t="n">
        <v>6</v>
      </c>
      <c r="B21" s="12" t="s">
        <v>83</v>
      </c>
      <c r="C21" s="11" t="s">
        <v>36</v>
      </c>
      <c r="D21" s="12" t="s">
        <v>99</v>
      </c>
      <c r="E21" s="11" t="s">
        <v>38</v>
      </c>
      <c r="F21" s="11" t="s">
        <v>39</v>
      </c>
      <c r="G21" s="12" t="s">
        <v>100</v>
      </c>
      <c r="H21" s="12" t="s">
        <v>29</v>
      </c>
      <c r="I21" s="12" t="s">
        <v>63</v>
      </c>
    </row>
    <row r="22" customFormat="false" ht="46.25" hidden="false" customHeight="false" outlineLevel="0" collapsed="false">
      <c r="A22" s="11" t="n">
        <v>6</v>
      </c>
      <c r="B22" s="12" t="s">
        <v>83</v>
      </c>
      <c r="C22" s="11" t="s">
        <v>36</v>
      </c>
      <c r="D22" s="12" t="s">
        <v>101</v>
      </c>
      <c r="E22" s="11" t="s">
        <v>38</v>
      </c>
      <c r="F22" s="11" t="s">
        <v>39</v>
      </c>
      <c r="G22" s="12" t="s">
        <v>102</v>
      </c>
      <c r="H22" s="12" t="s">
        <v>29</v>
      </c>
      <c r="I22" s="12" t="s">
        <v>101</v>
      </c>
    </row>
    <row r="23" customFormat="false" ht="35.05" hidden="false" customHeight="false" outlineLevel="0" collapsed="false">
      <c r="A23" s="9" t="n">
        <v>7</v>
      </c>
      <c r="B23" s="10" t="s">
        <v>103</v>
      </c>
      <c r="C23" s="9" t="s">
        <v>24</v>
      </c>
      <c r="D23" s="10" t="s">
        <v>104</v>
      </c>
      <c r="E23" s="9" t="s">
        <v>26</v>
      </c>
      <c r="F23" s="9" t="s">
        <v>33</v>
      </c>
      <c r="G23" s="10" t="s">
        <v>105</v>
      </c>
      <c r="H23" s="10" t="s">
        <v>29</v>
      </c>
      <c r="I23" s="10" t="s">
        <v>106</v>
      </c>
    </row>
    <row r="24" customFormat="false" ht="35.05" hidden="false" customHeight="false" outlineLevel="0" collapsed="false">
      <c r="A24" s="9" t="n">
        <v>7</v>
      </c>
      <c r="B24" s="10" t="s">
        <v>103</v>
      </c>
      <c r="C24" s="9" t="s">
        <v>24</v>
      </c>
      <c r="D24" s="10" t="s">
        <v>107</v>
      </c>
      <c r="E24" s="9" t="s">
        <v>26</v>
      </c>
      <c r="F24" s="9" t="s">
        <v>33</v>
      </c>
      <c r="G24" s="10" t="s">
        <v>108</v>
      </c>
      <c r="H24" s="10" t="s">
        <v>29</v>
      </c>
      <c r="I24" s="10" t="s">
        <v>109</v>
      </c>
    </row>
    <row r="25" customFormat="false" ht="23.85" hidden="false" customHeight="false" outlineLevel="0" collapsed="false">
      <c r="A25" s="11" t="n">
        <v>7</v>
      </c>
      <c r="B25" s="12" t="s">
        <v>103</v>
      </c>
      <c r="C25" s="11" t="s">
        <v>36</v>
      </c>
      <c r="D25" s="12" t="s">
        <v>110</v>
      </c>
      <c r="E25" s="11" t="s">
        <v>38</v>
      </c>
      <c r="F25" s="11" t="s">
        <v>39</v>
      </c>
      <c r="G25" s="12" t="s">
        <v>111</v>
      </c>
      <c r="H25" s="12" t="s">
        <v>29</v>
      </c>
      <c r="I25" s="12" t="s">
        <v>112</v>
      </c>
    </row>
    <row r="26" customFormat="false" ht="35.05" hidden="false" customHeight="false" outlineLevel="0" collapsed="false">
      <c r="A26" s="7" t="n">
        <v>8</v>
      </c>
      <c r="B26" s="8" t="s">
        <v>113</v>
      </c>
      <c r="C26" s="7" t="s">
        <v>24</v>
      </c>
      <c r="D26" s="8" t="s">
        <v>114</v>
      </c>
      <c r="E26" s="7" t="s">
        <v>26</v>
      </c>
      <c r="F26" s="7" t="s">
        <v>27</v>
      </c>
      <c r="G26" s="8" t="s">
        <v>115</v>
      </c>
      <c r="H26" s="8" t="s">
        <v>29</v>
      </c>
      <c r="I26" s="8" t="s">
        <v>116</v>
      </c>
    </row>
    <row r="27" customFormat="false" ht="35.05" hidden="false" customHeight="false" outlineLevel="0" collapsed="false">
      <c r="A27" s="9" t="n">
        <v>8</v>
      </c>
      <c r="B27" s="10" t="s">
        <v>113</v>
      </c>
      <c r="C27" s="9" t="s">
        <v>24</v>
      </c>
      <c r="D27" s="10" t="s">
        <v>117</v>
      </c>
      <c r="E27" s="9" t="s">
        <v>32</v>
      </c>
      <c r="F27" s="9" t="s">
        <v>33</v>
      </c>
      <c r="G27" s="10" t="s">
        <v>118</v>
      </c>
      <c r="H27" s="10" t="s">
        <v>29</v>
      </c>
      <c r="I27" s="10" t="s">
        <v>119</v>
      </c>
    </row>
    <row r="28" customFormat="false" ht="23.85" hidden="false" customHeight="false" outlineLevel="0" collapsed="false">
      <c r="A28" s="11" t="n">
        <v>8</v>
      </c>
      <c r="B28" s="12" t="s">
        <v>113</v>
      </c>
      <c r="C28" s="11" t="s">
        <v>36</v>
      </c>
      <c r="D28" s="12" t="s">
        <v>120</v>
      </c>
      <c r="E28" s="11" t="s">
        <v>38</v>
      </c>
      <c r="F28" s="11" t="s">
        <v>39</v>
      </c>
      <c r="G28" s="12" t="s">
        <v>121</v>
      </c>
      <c r="H28" s="12" t="s">
        <v>29</v>
      </c>
      <c r="I28" s="12" t="s">
        <v>120</v>
      </c>
    </row>
    <row r="29" customFormat="false" ht="23.85" hidden="false" customHeight="false" outlineLevel="0" collapsed="false">
      <c r="A29" s="11" t="n">
        <v>8</v>
      </c>
      <c r="B29" s="12" t="s">
        <v>113</v>
      </c>
      <c r="C29" s="11" t="s">
        <v>36</v>
      </c>
      <c r="D29" s="12" t="s">
        <v>122</v>
      </c>
      <c r="E29" s="11" t="s">
        <v>38</v>
      </c>
      <c r="F29" s="11" t="s">
        <v>39</v>
      </c>
      <c r="G29" s="12" t="s">
        <v>123</v>
      </c>
      <c r="H29" s="12" t="s">
        <v>29</v>
      </c>
      <c r="I29" s="12" t="s">
        <v>122</v>
      </c>
    </row>
    <row r="30" customFormat="false" ht="23.85" hidden="false" customHeight="false" outlineLevel="0" collapsed="false">
      <c r="A30" s="11" t="n">
        <v>9</v>
      </c>
      <c r="B30" s="12" t="s">
        <v>124</v>
      </c>
      <c r="C30" s="11" t="s">
        <v>36</v>
      </c>
      <c r="D30" s="12" t="s">
        <v>125</v>
      </c>
      <c r="E30" s="11" t="s">
        <v>38</v>
      </c>
      <c r="F30" s="11" t="s">
        <v>39</v>
      </c>
      <c r="G30" s="12" t="s">
        <v>126</v>
      </c>
      <c r="H30" s="12" t="s">
        <v>29</v>
      </c>
      <c r="I30" s="12" t="s">
        <v>127</v>
      </c>
    </row>
    <row r="31" customFormat="false" ht="35.05" hidden="false" customHeight="false" outlineLevel="0" collapsed="false">
      <c r="A31" s="7" t="n">
        <v>10</v>
      </c>
      <c r="B31" s="8" t="s">
        <v>128</v>
      </c>
      <c r="C31" s="7" t="s">
        <v>24</v>
      </c>
      <c r="D31" s="8" t="s">
        <v>129</v>
      </c>
      <c r="E31" s="7" t="s">
        <v>26</v>
      </c>
      <c r="F31" s="7" t="s">
        <v>27</v>
      </c>
      <c r="G31" s="8" t="s">
        <v>130</v>
      </c>
      <c r="H31" s="8" t="s">
        <v>131</v>
      </c>
      <c r="I31" s="8" t="s">
        <v>132</v>
      </c>
    </row>
    <row r="32" customFormat="false" ht="35.05" hidden="false" customHeight="false" outlineLevel="0" collapsed="false">
      <c r="A32" s="7" t="n">
        <v>11</v>
      </c>
      <c r="B32" s="8" t="s">
        <v>133</v>
      </c>
      <c r="C32" s="7" t="s">
        <v>24</v>
      </c>
      <c r="D32" s="8" t="s">
        <v>134</v>
      </c>
      <c r="E32" s="7" t="s">
        <v>26</v>
      </c>
      <c r="F32" s="7" t="s">
        <v>27</v>
      </c>
      <c r="G32" s="8" t="s">
        <v>135</v>
      </c>
      <c r="H32" s="8" t="s">
        <v>136</v>
      </c>
      <c r="I32" s="8" t="s">
        <v>137</v>
      </c>
    </row>
    <row r="33" customFormat="false" ht="23.85" hidden="false" customHeight="false" outlineLevel="0" collapsed="false">
      <c r="A33" s="11" t="n">
        <v>11</v>
      </c>
      <c r="B33" s="12" t="s">
        <v>133</v>
      </c>
      <c r="C33" s="11" t="s">
        <v>36</v>
      </c>
      <c r="D33" s="12" t="s">
        <v>138</v>
      </c>
      <c r="E33" s="11" t="s">
        <v>38</v>
      </c>
      <c r="F33" s="11" t="s">
        <v>39</v>
      </c>
      <c r="G33" s="12" t="s">
        <v>139</v>
      </c>
      <c r="H33" s="12" t="s">
        <v>29</v>
      </c>
      <c r="I33" s="12" t="s">
        <v>140</v>
      </c>
    </row>
    <row r="34" customFormat="false" ht="23.85" hidden="false" customHeight="false" outlineLevel="0" collapsed="false">
      <c r="A34" s="11" t="n">
        <v>11</v>
      </c>
      <c r="B34" s="12" t="s">
        <v>133</v>
      </c>
      <c r="C34" s="11" t="s">
        <v>36</v>
      </c>
      <c r="D34" s="12" t="s">
        <v>141</v>
      </c>
      <c r="E34" s="11" t="s">
        <v>38</v>
      </c>
      <c r="F34" s="11" t="s">
        <v>39</v>
      </c>
      <c r="G34" s="12" t="s">
        <v>142</v>
      </c>
      <c r="H34" s="12" t="s">
        <v>29</v>
      </c>
      <c r="I34" s="12" t="s">
        <v>141</v>
      </c>
    </row>
    <row r="35" customFormat="false" ht="35.05" hidden="false" customHeight="false" outlineLevel="0" collapsed="false">
      <c r="A35" s="7" t="n">
        <v>12</v>
      </c>
      <c r="B35" s="8" t="s">
        <v>143</v>
      </c>
      <c r="C35" s="7" t="s">
        <v>24</v>
      </c>
      <c r="D35" s="8" t="s">
        <v>144</v>
      </c>
      <c r="E35" s="7" t="s">
        <v>26</v>
      </c>
      <c r="F35" s="7" t="s">
        <v>27</v>
      </c>
      <c r="G35" s="8" t="s">
        <v>145</v>
      </c>
      <c r="H35" s="8" t="s">
        <v>146</v>
      </c>
      <c r="I35" s="8" t="s">
        <v>147</v>
      </c>
    </row>
    <row r="36" customFormat="false" ht="35.05" hidden="false" customHeight="false" outlineLevel="0" collapsed="false">
      <c r="A36" s="9" t="n">
        <v>12</v>
      </c>
      <c r="B36" s="10" t="s">
        <v>143</v>
      </c>
      <c r="C36" s="9" t="s">
        <v>24</v>
      </c>
      <c r="D36" s="10" t="s">
        <v>148</v>
      </c>
      <c r="E36" s="9" t="s">
        <v>32</v>
      </c>
      <c r="F36" s="9" t="s">
        <v>33</v>
      </c>
      <c r="G36" s="10" t="s">
        <v>149</v>
      </c>
      <c r="H36" s="10" t="s">
        <v>29</v>
      </c>
      <c r="I36" s="10" t="s">
        <v>150</v>
      </c>
    </row>
    <row r="37" customFormat="false" ht="23.85" hidden="false" customHeight="false" outlineLevel="0" collapsed="false">
      <c r="A37" s="11" t="n">
        <v>12</v>
      </c>
      <c r="B37" s="12" t="s">
        <v>143</v>
      </c>
      <c r="C37" s="11" t="s">
        <v>36</v>
      </c>
      <c r="D37" s="12" t="s">
        <v>151</v>
      </c>
      <c r="E37" s="11" t="s">
        <v>38</v>
      </c>
      <c r="F37" s="11" t="s">
        <v>39</v>
      </c>
      <c r="G37" s="12" t="s">
        <v>152</v>
      </c>
      <c r="H37" s="12" t="s">
        <v>29</v>
      </c>
      <c r="I37" s="12" t="s">
        <v>153</v>
      </c>
    </row>
    <row r="38" customFormat="false" ht="23.85" hidden="false" customHeight="false" outlineLevel="0" collapsed="false">
      <c r="A38" s="11" t="n">
        <v>12</v>
      </c>
      <c r="B38" s="12" t="s">
        <v>143</v>
      </c>
      <c r="C38" s="11" t="s">
        <v>36</v>
      </c>
      <c r="D38" s="12" t="s">
        <v>154</v>
      </c>
      <c r="E38" s="11" t="s">
        <v>38</v>
      </c>
      <c r="F38" s="11" t="s">
        <v>39</v>
      </c>
      <c r="G38" s="12" t="s">
        <v>155</v>
      </c>
      <c r="H38" s="12" t="s">
        <v>29</v>
      </c>
      <c r="I38" s="12" t="s">
        <v>154</v>
      </c>
    </row>
    <row r="39" customFormat="false" ht="23.85" hidden="false" customHeight="false" outlineLevel="0" collapsed="false">
      <c r="A39" s="11" t="n">
        <v>12</v>
      </c>
      <c r="B39" s="12" t="s">
        <v>143</v>
      </c>
      <c r="C39" s="11" t="s">
        <v>36</v>
      </c>
      <c r="D39" s="12" t="s">
        <v>156</v>
      </c>
      <c r="E39" s="11" t="s">
        <v>38</v>
      </c>
      <c r="F39" s="11" t="s">
        <v>39</v>
      </c>
      <c r="G39" s="12" t="s">
        <v>157</v>
      </c>
      <c r="H39" s="12" t="s">
        <v>29</v>
      </c>
      <c r="I39" s="12" t="s">
        <v>156</v>
      </c>
    </row>
    <row r="40" customFormat="false" ht="35.05" hidden="false" customHeight="false" outlineLevel="0" collapsed="false">
      <c r="A40" s="7" t="n">
        <v>13</v>
      </c>
      <c r="B40" s="8" t="s">
        <v>158</v>
      </c>
      <c r="C40" s="7" t="s">
        <v>24</v>
      </c>
      <c r="D40" s="8" t="s">
        <v>159</v>
      </c>
      <c r="E40" s="7" t="s">
        <v>26</v>
      </c>
      <c r="F40" s="7" t="s">
        <v>27</v>
      </c>
      <c r="G40" s="8" t="s">
        <v>160</v>
      </c>
      <c r="H40" s="8" t="s">
        <v>161</v>
      </c>
      <c r="I40" s="8" t="s">
        <v>162</v>
      </c>
    </row>
    <row r="41" customFormat="false" ht="35.05" hidden="false" customHeight="false" outlineLevel="0" collapsed="false">
      <c r="A41" s="9" t="n">
        <v>13</v>
      </c>
      <c r="B41" s="10" t="s">
        <v>158</v>
      </c>
      <c r="C41" s="9" t="s">
        <v>24</v>
      </c>
      <c r="D41" s="10" t="s">
        <v>163</v>
      </c>
      <c r="E41" s="9" t="s">
        <v>26</v>
      </c>
      <c r="F41" s="9" t="s">
        <v>33</v>
      </c>
      <c r="G41" s="10" t="s">
        <v>164</v>
      </c>
      <c r="H41" s="10" t="s">
        <v>29</v>
      </c>
      <c r="I41" s="10" t="s">
        <v>165</v>
      </c>
    </row>
    <row r="42" customFormat="false" ht="35.05" hidden="false" customHeight="false" outlineLevel="0" collapsed="false">
      <c r="A42" s="9" t="n">
        <v>13</v>
      </c>
      <c r="B42" s="10" t="s">
        <v>158</v>
      </c>
      <c r="C42" s="9" t="s">
        <v>24</v>
      </c>
      <c r="D42" s="10" t="s">
        <v>166</v>
      </c>
      <c r="E42" s="9" t="s">
        <v>32</v>
      </c>
      <c r="F42" s="9" t="s">
        <v>33</v>
      </c>
      <c r="G42" s="10" t="s">
        <v>167</v>
      </c>
      <c r="H42" s="10" t="s">
        <v>29</v>
      </c>
      <c r="I42" s="10" t="s">
        <v>168</v>
      </c>
    </row>
    <row r="43" customFormat="false" ht="35.05" hidden="false" customHeight="false" outlineLevel="0" collapsed="false">
      <c r="A43" s="9" t="n">
        <v>13</v>
      </c>
      <c r="B43" s="10" t="s">
        <v>158</v>
      </c>
      <c r="C43" s="9" t="s">
        <v>24</v>
      </c>
      <c r="D43" s="10" t="s">
        <v>169</v>
      </c>
      <c r="E43" s="9" t="s">
        <v>32</v>
      </c>
      <c r="F43" s="9" t="s">
        <v>33</v>
      </c>
      <c r="G43" s="10" t="s">
        <v>170</v>
      </c>
      <c r="H43" s="10" t="s">
        <v>29</v>
      </c>
      <c r="I43" s="10" t="s">
        <v>171</v>
      </c>
    </row>
    <row r="44" customFormat="false" ht="23.85" hidden="false" customHeight="false" outlineLevel="0" collapsed="false">
      <c r="A44" s="11" t="n">
        <v>13</v>
      </c>
      <c r="B44" s="12" t="s">
        <v>158</v>
      </c>
      <c r="C44" s="11" t="s">
        <v>36</v>
      </c>
      <c r="D44" s="12" t="s">
        <v>172</v>
      </c>
      <c r="E44" s="11" t="s">
        <v>38</v>
      </c>
      <c r="F44" s="11" t="s">
        <v>39</v>
      </c>
      <c r="G44" s="12" t="s">
        <v>173</v>
      </c>
      <c r="H44" s="12" t="s">
        <v>29</v>
      </c>
      <c r="I44" s="12" t="s">
        <v>153</v>
      </c>
    </row>
    <row r="45" customFormat="false" ht="23.85" hidden="false" customHeight="false" outlineLevel="0" collapsed="false">
      <c r="A45" s="11" t="n">
        <v>13</v>
      </c>
      <c r="B45" s="12" t="s">
        <v>158</v>
      </c>
      <c r="C45" s="11" t="s">
        <v>36</v>
      </c>
      <c r="D45" s="12" t="s">
        <v>174</v>
      </c>
      <c r="E45" s="11" t="s">
        <v>38</v>
      </c>
      <c r="F45" s="11" t="s">
        <v>39</v>
      </c>
      <c r="G45" s="12" t="s">
        <v>175</v>
      </c>
      <c r="H45" s="12" t="s">
        <v>29</v>
      </c>
      <c r="I45" s="12" t="s">
        <v>174</v>
      </c>
    </row>
    <row r="46" customFormat="false" ht="23.85" hidden="false" customHeight="false" outlineLevel="0" collapsed="false">
      <c r="A46" s="11" t="n">
        <v>13</v>
      </c>
      <c r="B46" s="12" t="s">
        <v>158</v>
      </c>
      <c r="C46" s="11" t="s">
        <v>36</v>
      </c>
      <c r="D46" s="12" t="s">
        <v>176</v>
      </c>
      <c r="E46" s="11" t="s">
        <v>38</v>
      </c>
      <c r="F46" s="11" t="s">
        <v>39</v>
      </c>
      <c r="G46" s="12" t="s">
        <v>177</v>
      </c>
      <c r="H46" s="12" t="s">
        <v>29</v>
      </c>
      <c r="I46" s="12" t="s">
        <v>176</v>
      </c>
    </row>
    <row r="47" customFormat="false" ht="23.85" hidden="false" customHeight="false" outlineLevel="0" collapsed="false">
      <c r="A47" s="11" t="n">
        <v>13</v>
      </c>
      <c r="B47" s="12" t="s">
        <v>158</v>
      </c>
      <c r="C47" s="11" t="s">
        <v>36</v>
      </c>
      <c r="D47" s="12" t="s">
        <v>178</v>
      </c>
      <c r="E47" s="11" t="s">
        <v>38</v>
      </c>
      <c r="F47" s="11" t="s">
        <v>39</v>
      </c>
      <c r="G47" s="12" t="s">
        <v>179</v>
      </c>
      <c r="H47" s="12" t="s">
        <v>29</v>
      </c>
      <c r="I47" s="12" t="s">
        <v>178</v>
      </c>
    </row>
    <row r="48" customFormat="false" ht="35.05" hidden="false" customHeight="false" outlineLevel="0" collapsed="false">
      <c r="A48" s="9" t="n">
        <v>14</v>
      </c>
      <c r="B48" s="10" t="s">
        <v>180</v>
      </c>
      <c r="C48" s="9" t="s">
        <v>24</v>
      </c>
      <c r="D48" s="10" t="s">
        <v>181</v>
      </c>
      <c r="E48" s="9" t="s">
        <v>26</v>
      </c>
      <c r="F48" s="9" t="s">
        <v>33</v>
      </c>
      <c r="G48" s="10" t="s">
        <v>182</v>
      </c>
      <c r="H48" s="10" t="s">
        <v>183</v>
      </c>
      <c r="I48" s="10" t="s">
        <v>184</v>
      </c>
    </row>
    <row r="49" customFormat="false" ht="35.05" hidden="false" customHeight="false" outlineLevel="0" collapsed="false">
      <c r="A49" s="9" t="n">
        <v>14</v>
      </c>
      <c r="B49" s="10" t="s">
        <v>180</v>
      </c>
      <c r="C49" s="9" t="s">
        <v>24</v>
      </c>
      <c r="D49" s="10" t="s">
        <v>185</v>
      </c>
      <c r="E49" s="9" t="s">
        <v>32</v>
      </c>
      <c r="F49" s="9" t="s">
        <v>33</v>
      </c>
      <c r="G49" s="10" t="s">
        <v>186</v>
      </c>
      <c r="H49" s="10" t="s">
        <v>29</v>
      </c>
      <c r="I49" s="10" t="s">
        <v>187</v>
      </c>
    </row>
    <row r="50" customFormat="false" ht="35.05" hidden="false" customHeight="false" outlineLevel="0" collapsed="false">
      <c r="A50" s="11" t="n">
        <v>14</v>
      </c>
      <c r="B50" s="12" t="s">
        <v>180</v>
      </c>
      <c r="C50" s="11" t="s">
        <v>36</v>
      </c>
      <c r="D50" s="12" t="s">
        <v>188</v>
      </c>
      <c r="E50" s="11" t="s">
        <v>38</v>
      </c>
      <c r="F50" s="11" t="s">
        <v>39</v>
      </c>
      <c r="G50" s="12" t="s">
        <v>189</v>
      </c>
      <c r="H50" s="12" t="s">
        <v>29</v>
      </c>
      <c r="I50" s="12" t="s">
        <v>190</v>
      </c>
    </row>
    <row r="51" customFormat="false" ht="23.85" hidden="false" customHeight="false" outlineLevel="0" collapsed="false">
      <c r="A51" s="11" t="n">
        <v>14</v>
      </c>
      <c r="B51" s="12" t="s">
        <v>180</v>
      </c>
      <c r="C51" s="11" t="s">
        <v>36</v>
      </c>
      <c r="D51" s="12" t="s">
        <v>191</v>
      </c>
      <c r="E51" s="11" t="s">
        <v>38</v>
      </c>
      <c r="F51" s="11" t="s">
        <v>39</v>
      </c>
      <c r="G51" s="12" t="s">
        <v>192</v>
      </c>
      <c r="H51" s="12" t="s">
        <v>29</v>
      </c>
      <c r="I51" s="12" t="s">
        <v>193</v>
      </c>
    </row>
    <row r="52" customFormat="false" ht="23.85" hidden="false" customHeight="false" outlineLevel="0" collapsed="false">
      <c r="A52" s="11" t="n">
        <v>14</v>
      </c>
      <c r="B52" s="12" t="s">
        <v>180</v>
      </c>
      <c r="C52" s="11" t="s">
        <v>36</v>
      </c>
      <c r="D52" s="12" t="s">
        <v>194</v>
      </c>
      <c r="E52" s="11" t="s">
        <v>38</v>
      </c>
      <c r="F52" s="11" t="s">
        <v>39</v>
      </c>
      <c r="G52" s="12" t="s">
        <v>195</v>
      </c>
      <c r="H52" s="12" t="s">
        <v>29</v>
      </c>
      <c r="I52" s="12" t="s">
        <v>140</v>
      </c>
    </row>
    <row r="53" customFormat="false" ht="23.85" hidden="false" customHeight="false" outlineLevel="0" collapsed="false">
      <c r="A53" s="11" t="n">
        <v>14</v>
      </c>
      <c r="B53" s="12" t="s">
        <v>180</v>
      </c>
      <c r="C53" s="11" t="s">
        <v>36</v>
      </c>
      <c r="D53" s="12" t="s">
        <v>196</v>
      </c>
      <c r="E53" s="11" t="s">
        <v>38</v>
      </c>
      <c r="F53" s="11" t="s">
        <v>39</v>
      </c>
      <c r="G53" s="12" t="s">
        <v>197</v>
      </c>
      <c r="H53" s="12" t="s">
        <v>29</v>
      </c>
      <c r="I53" s="12" t="s">
        <v>196</v>
      </c>
    </row>
    <row r="54" customFormat="false" ht="23.85" hidden="false" customHeight="false" outlineLevel="0" collapsed="false">
      <c r="A54" s="11" t="n">
        <v>14</v>
      </c>
      <c r="B54" s="12" t="s">
        <v>180</v>
      </c>
      <c r="C54" s="11" t="s">
        <v>36</v>
      </c>
      <c r="D54" s="12" t="s">
        <v>198</v>
      </c>
      <c r="E54" s="11" t="s">
        <v>38</v>
      </c>
      <c r="F54" s="11" t="s">
        <v>39</v>
      </c>
      <c r="G54" s="12" t="s">
        <v>199</v>
      </c>
      <c r="H54" s="12" t="s">
        <v>29</v>
      </c>
      <c r="I54" s="12" t="s">
        <v>198</v>
      </c>
    </row>
    <row r="55" customFormat="false" ht="23.85" hidden="false" customHeight="false" outlineLevel="0" collapsed="false">
      <c r="A55" s="13" t="n">
        <v>15</v>
      </c>
      <c r="B55" s="14" t="s">
        <v>200</v>
      </c>
      <c r="C55" s="13" t="s">
        <v>29</v>
      </c>
      <c r="D55" s="14" t="s">
        <v>201</v>
      </c>
      <c r="E55" s="13"/>
      <c r="F55" s="13" t="s">
        <v>202</v>
      </c>
      <c r="G55" s="14" t="s">
        <v>203</v>
      </c>
      <c r="H55" s="14" t="s">
        <v>29</v>
      </c>
      <c r="I55" s="14"/>
    </row>
    <row r="56" customFormat="false" ht="35.05" hidden="false" customHeight="false" outlineLevel="0" collapsed="false">
      <c r="A56" s="9" t="n">
        <v>16</v>
      </c>
      <c r="B56" s="10" t="s">
        <v>204</v>
      </c>
      <c r="C56" s="9" t="s">
        <v>24</v>
      </c>
      <c r="D56" s="10" t="s">
        <v>205</v>
      </c>
      <c r="E56" s="9" t="s">
        <v>26</v>
      </c>
      <c r="F56" s="9" t="s">
        <v>33</v>
      </c>
      <c r="G56" s="10" t="s">
        <v>206</v>
      </c>
      <c r="H56" s="10" t="s">
        <v>29</v>
      </c>
      <c r="I56" s="10" t="s">
        <v>207</v>
      </c>
    </row>
    <row r="57" customFormat="false" ht="46.25" hidden="false" customHeight="false" outlineLevel="0" collapsed="false">
      <c r="A57" s="9" t="n">
        <v>16</v>
      </c>
      <c r="B57" s="10" t="s">
        <v>204</v>
      </c>
      <c r="C57" s="9" t="s">
        <v>24</v>
      </c>
      <c r="D57" s="10" t="s">
        <v>208</v>
      </c>
      <c r="E57" s="9" t="s">
        <v>26</v>
      </c>
      <c r="F57" s="9" t="s">
        <v>33</v>
      </c>
      <c r="G57" s="10" t="s">
        <v>209</v>
      </c>
      <c r="H57" s="10" t="s">
        <v>29</v>
      </c>
      <c r="I57" s="10" t="s">
        <v>210</v>
      </c>
    </row>
    <row r="58" customFormat="false" ht="46.25" hidden="false" customHeight="false" outlineLevel="0" collapsed="false">
      <c r="A58" s="9" t="n">
        <v>16</v>
      </c>
      <c r="B58" s="10" t="s">
        <v>204</v>
      </c>
      <c r="C58" s="9" t="s">
        <v>24</v>
      </c>
      <c r="D58" s="10" t="s">
        <v>211</v>
      </c>
      <c r="E58" s="9" t="s">
        <v>32</v>
      </c>
      <c r="F58" s="9" t="s">
        <v>33</v>
      </c>
      <c r="G58" s="10" t="s">
        <v>212</v>
      </c>
      <c r="H58" s="10" t="s">
        <v>29</v>
      </c>
      <c r="I58" s="10" t="s">
        <v>213</v>
      </c>
    </row>
    <row r="59" customFormat="false" ht="23.85" hidden="false" customHeight="false" outlineLevel="0" collapsed="false">
      <c r="A59" s="11" t="n">
        <v>16</v>
      </c>
      <c r="B59" s="12" t="s">
        <v>204</v>
      </c>
      <c r="C59" s="11" t="s">
        <v>36</v>
      </c>
      <c r="D59" s="12" t="s">
        <v>214</v>
      </c>
      <c r="E59" s="11" t="s">
        <v>38</v>
      </c>
      <c r="F59" s="11" t="s">
        <v>39</v>
      </c>
      <c r="G59" s="12" t="s">
        <v>215</v>
      </c>
      <c r="H59" s="12" t="s">
        <v>29</v>
      </c>
      <c r="I59" s="12" t="s">
        <v>216</v>
      </c>
    </row>
    <row r="60" customFormat="false" ht="35.05" hidden="false" customHeight="false" outlineLevel="0" collapsed="false">
      <c r="A60" s="9" t="s">
        <v>217</v>
      </c>
      <c r="B60" s="10" t="s">
        <v>218</v>
      </c>
      <c r="C60" s="9" t="s">
        <v>24</v>
      </c>
      <c r="D60" s="10" t="s">
        <v>219</v>
      </c>
      <c r="E60" s="9" t="s">
        <v>26</v>
      </c>
      <c r="F60" s="9" t="s">
        <v>33</v>
      </c>
      <c r="G60" s="10" t="s">
        <v>220</v>
      </c>
      <c r="H60" s="10" t="s">
        <v>29</v>
      </c>
      <c r="I60" s="10" t="s">
        <v>221</v>
      </c>
    </row>
    <row r="61" customFormat="false" ht="35.05" hidden="false" customHeight="false" outlineLevel="0" collapsed="false">
      <c r="A61" s="9" t="s">
        <v>217</v>
      </c>
      <c r="B61" s="10" t="s">
        <v>218</v>
      </c>
      <c r="C61" s="9" t="s">
        <v>24</v>
      </c>
      <c r="D61" s="10" t="s">
        <v>222</v>
      </c>
      <c r="E61" s="9" t="s">
        <v>26</v>
      </c>
      <c r="F61" s="9" t="s">
        <v>33</v>
      </c>
      <c r="G61" s="10" t="s">
        <v>223</v>
      </c>
      <c r="H61" s="10" t="s">
        <v>29</v>
      </c>
      <c r="I61" s="10" t="s">
        <v>224</v>
      </c>
    </row>
    <row r="62" customFormat="false" ht="35.05" hidden="false" customHeight="false" outlineLevel="0" collapsed="false">
      <c r="A62" s="9" t="s">
        <v>225</v>
      </c>
      <c r="B62" s="10" t="s">
        <v>218</v>
      </c>
      <c r="C62" s="9" t="s">
        <v>24</v>
      </c>
      <c r="D62" s="10" t="s">
        <v>226</v>
      </c>
      <c r="E62" s="9" t="s">
        <v>26</v>
      </c>
      <c r="F62" s="9" t="s">
        <v>33</v>
      </c>
      <c r="G62" s="10" t="s">
        <v>227</v>
      </c>
      <c r="H62" s="10" t="s">
        <v>29</v>
      </c>
      <c r="I62" s="10" t="s">
        <v>228</v>
      </c>
    </row>
    <row r="63" customFormat="false" ht="35.05" hidden="false" customHeight="false" outlineLevel="0" collapsed="false">
      <c r="A63" s="9" t="s">
        <v>225</v>
      </c>
      <c r="B63" s="10" t="s">
        <v>218</v>
      </c>
      <c r="C63" s="9" t="s">
        <v>24</v>
      </c>
      <c r="D63" s="10" t="s">
        <v>229</v>
      </c>
      <c r="E63" s="9" t="s">
        <v>32</v>
      </c>
      <c r="F63" s="9" t="s">
        <v>33</v>
      </c>
      <c r="G63" s="10" t="s">
        <v>230</v>
      </c>
      <c r="H63" s="10" t="s">
        <v>29</v>
      </c>
      <c r="I63" s="10" t="s">
        <v>231</v>
      </c>
    </row>
    <row r="64" customFormat="false" ht="35.05" hidden="false" customHeight="false" outlineLevel="0" collapsed="false">
      <c r="A64" s="9" t="s">
        <v>225</v>
      </c>
      <c r="B64" s="10" t="s">
        <v>218</v>
      </c>
      <c r="C64" s="9" t="s">
        <v>24</v>
      </c>
      <c r="D64" s="10" t="s">
        <v>232</v>
      </c>
      <c r="E64" s="9" t="s">
        <v>32</v>
      </c>
      <c r="F64" s="9" t="s">
        <v>33</v>
      </c>
      <c r="G64" s="10" t="s">
        <v>230</v>
      </c>
      <c r="H64" s="10" t="s">
        <v>29</v>
      </c>
      <c r="I64" s="10" t="s">
        <v>233</v>
      </c>
    </row>
    <row r="65" customFormat="false" ht="35.05" hidden="false" customHeight="false" outlineLevel="0" collapsed="false">
      <c r="A65" s="9" t="s">
        <v>225</v>
      </c>
      <c r="B65" s="10" t="s">
        <v>218</v>
      </c>
      <c r="C65" s="9" t="s">
        <v>24</v>
      </c>
      <c r="D65" s="10" t="s">
        <v>234</v>
      </c>
      <c r="E65" s="9" t="s">
        <v>32</v>
      </c>
      <c r="F65" s="9" t="s">
        <v>33</v>
      </c>
      <c r="G65" s="10" t="s">
        <v>230</v>
      </c>
      <c r="H65" s="10" t="s">
        <v>29</v>
      </c>
      <c r="I65" s="10" t="s">
        <v>235</v>
      </c>
    </row>
    <row r="66" customFormat="false" ht="35.05" hidden="false" customHeight="false" outlineLevel="0" collapsed="false">
      <c r="A66" s="9" t="s">
        <v>225</v>
      </c>
      <c r="B66" s="10" t="s">
        <v>218</v>
      </c>
      <c r="C66" s="9" t="s">
        <v>24</v>
      </c>
      <c r="D66" s="10" t="s">
        <v>236</v>
      </c>
      <c r="E66" s="9" t="s">
        <v>32</v>
      </c>
      <c r="F66" s="9" t="s">
        <v>33</v>
      </c>
      <c r="G66" s="10" t="s">
        <v>237</v>
      </c>
      <c r="H66" s="10" t="s">
        <v>29</v>
      </c>
      <c r="I66" s="10" t="s">
        <v>238</v>
      </c>
    </row>
  </sheetData>
  <autoFilter ref="A1:I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72"/>
    <col collapsed="false" customWidth="true" hidden="false" outlineLevel="0" max="5" min="5" style="0" width="50"/>
  </cols>
  <sheetData>
    <row r="1" customFormat="false" ht="30" hidden="false" customHeight="true" outlineLevel="0" collapsed="false">
      <c r="A1" s="6" t="s">
        <v>239</v>
      </c>
      <c r="B1" s="6" t="s">
        <v>240</v>
      </c>
      <c r="C1" s="6" t="s">
        <v>241</v>
      </c>
      <c r="D1" s="6" t="s">
        <v>242</v>
      </c>
      <c r="E1" s="6" t="s">
        <v>243</v>
      </c>
    </row>
    <row r="2" customFormat="false" ht="35.05" hidden="false" customHeight="false" outlineLevel="0" collapsed="false">
      <c r="A2" s="14" t="s">
        <v>25</v>
      </c>
      <c r="B2" s="13" t="s">
        <v>32</v>
      </c>
      <c r="C2" s="14" t="s">
        <v>244</v>
      </c>
      <c r="D2" s="14" t="s">
        <v>245</v>
      </c>
      <c r="E2" s="14" t="s">
        <v>246</v>
      </c>
    </row>
    <row r="3" customFormat="false" ht="35.05" hidden="false" customHeight="false" outlineLevel="0" collapsed="false">
      <c r="A3" s="14" t="s">
        <v>205</v>
      </c>
      <c r="B3" s="13" t="s">
        <v>32</v>
      </c>
      <c r="C3" s="14" t="s">
        <v>244</v>
      </c>
      <c r="D3" s="14" t="s">
        <v>247</v>
      </c>
      <c r="E3" s="14" t="s">
        <v>248</v>
      </c>
    </row>
    <row r="4" customFormat="false" ht="35.05" hidden="false" customHeight="false" outlineLevel="0" collapsed="false">
      <c r="A4" s="14" t="s">
        <v>249</v>
      </c>
      <c r="B4" s="13" t="s">
        <v>26</v>
      </c>
      <c r="C4" s="14" t="s">
        <v>244</v>
      </c>
      <c r="D4" s="14" t="s">
        <v>250</v>
      </c>
      <c r="E4" s="14" t="s">
        <v>251</v>
      </c>
    </row>
    <row r="5" customFormat="false" ht="35.05" hidden="false" customHeight="false" outlineLevel="0" collapsed="false">
      <c r="A5" s="14" t="s">
        <v>249</v>
      </c>
      <c r="B5" s="13" t="s">
        <v>32</v>
      </c>
      <c r="C5" s="14" t="s">
        <v>244</v>
      </c>
      <c r="D5" s="14" t="s">
        <v>252</v>
      </c>
      <c r="E5" s="14" t="s">
        <v>253</v>
      </c>
    </row>
    <row r="6" customFormat="false" ht="35.05" hidden="false" customHeight="false" outlineLevel="0" collapsed="false">
      <c r="A6" s="14" t="s">
        <v>254</v>
      </c>
      <c r="B6" s="13" t="s">
        <v>32</v>
      </c>
      <c r="C6" s="14" t="s">
        <v>244</v>
      </c>
      <c r="D6" s="14" t="s">
        <v>255</v>
      </c>
      <c r="E6" s="14" t="s">
        <v>256</v>
      </c>
    </row>
    <row r="7" customFormat="false" ht="35.05" hidden="false" customHeight="false" outlineLevel="0" collapsed="false">
      <c r="A7" s="14" t="s">
        <v>257</v>
      </c>
      <c r="B7" s="13" t="s">
        <v>26</v>
      </c>
      <c r="C7" s="14" t="s">
        <v>244</v>
      </c>
      <c r="D7" s="14" t="s">
        <v>258</v>
      </c>
      <c r="E7" s="14" t="s">
        <v>259</v>
      </c>
    </row>
    <row r="8" customFormat="false" ht="35.05" hidden="false" customHeight="false" outlineLevel="0" collapsed="false">
      <c r="A8" s="14" t="s">
        <v>260</v>
      </c>
      <c r="B8" s="13" t="s">
        <v>26</v>
      </c>
      <c r="C8" s="14" t="s">
        <v>261</v>
      </c>
      <c r="D8" s="14" t="s">
        <v>262</v>
      </c>
      <c r="E8" s="14" t="s">
        <v>263</v>
      </c>
    </row>
    <row r="9" customFormat="false" ht="35.05" hidden="false" customHeight="false" outlineLevel="0" collapsed="false">
      <c r="A9" s="14" t="s">
        <v>264</v>
      </c>
      <c r="B9" s="13" t="s">
        <v>32</v>
      </c>
      <c r="C9" s="14" t="s">
        <v>265</v>
      </c>
      <c r="D9" s="14" t="s">
        <v>266</v>
      </c>
      <c r="E9" s="14" t="s">
        <v>267</v>
      </c>
    </row>
    <row r="10" customFormat="false" ht="35.05" hidden="false" customHeight="false" outlineLevel="0" collapsed="false">
      <c r="A10" s="14" t="s">
        <v>84</v>
      </c>
      <c r="B10" s="13" t="s">
        <v>32</v>
      </c>
      <c r="C10" s="14" t="s">
        <v>268</v>
      </c>
      <c r="D10" s="14" t="s">
        <v>269</v>
      </c>
      <c r="E10" s="14" t="s">
        <v>270</v>
      </c>
    </row>
    <row r="11" customFormat="false" ht="35.05" hidden="false" customHeight="false" outlineLevel="0" collapsed="false">
      <c r="A11" s="14" t="s">
        <v>271</v>
      </c>
      <c r="B11" s="13" t="s">
        <v>32</v>
      </c>
      <c r="C11" s="14" t="s">
        <v>268</v>
      </c>
      <c r="D11" s="14" t="s">
        <v>272</v>
      </c>
      <c r="E11" s="14" t="s">
        <v>273</v>
      </c>
    </row>
    <row r="12" customFormat="false" ht="35.05" hidden="false" customHeight="false" outlineLevel="0" collapsed="false">
      <c r="A12" s="14" t="s">
        <v>274</v>
      </c>
      <c r="B12" s="13" t="s">
        <v>32</v>
      </c>
      <c r="C12" s="14" t="s">
        <v>268</v>
      </c>
      <c r="D12" s="14" t="s">
        <v>275</v>
      </c>
      <c r="E12" s="14" t="s">
        <v>276</v>
      </c>
    </row>
    <row r="13" customFormat="false" ht="35.05" hidden="false" customHeight="false" outlineLevel="0" collapsed="false">
      <c r="A13" s="14" t="s">
        <v>107</v>
      </c>
      <c r="B13" s="13" t="s">
        <v>32</v>
      </c>
      <c r="C13" s="14" t="s">
        <v>277</v>
      </c>
      <c r="D13" s="14" t="s">
        <v>278</v>
      </c>
      <c r="E13" s="14" t="s">
        <v>279</v>
      </c>
    </row>
    <row r="14" customFormat="false" ht="35.05" hidden="false" customHeight="false" outlineLevel="0" collapsed="false">
      <c r="A14" s="14" t="s">
        <v>280</v>
      </c>
      <c r="B14" s="13" t="s">
        <v>32</v>
      </c>
      <c r="C14" s="14" t="s">
        <v>281</v>
      </c>
      <c r="D14" s="14" t="s">
        <v>282</v>
      </c>
      <c r="E14" s="14" t="s">
        <v>283</v>
      </c>
    </row>
    <row r="15" customFormat="false" ht="35.05" hidden="false" customHeight="false" outlineLevel="0" collapsed="false">
      <c r="A15" s="14" t="s">
        <v>134</v>
      </c>
      <c r="B15" s="13" t="s">
        <v>32</v>
      </c>
      <c r="C15" s="14" t="s">
        <v>284</v>
      </c>
      <c r="D15" s="14" t="s">
        <v>285</v>
      </c>
      <c r="E15" s="14" t="s">
        <v>286</v>
      </c>
    </row>
    <row r="16" customFormat="false" ht="35.05" hidden="false" customHeight="false" outlineLevel="0" collapsed="false">
      <c r="A16" s="14" t="s">
        <v>287</v>
      </c>
      <c r="B16" s="13" t="s">
        <v>26</v>
      </c>
      <c r="C16" s="14" t="s">
        <v>288</v>
      </c>
      <c r="D16" s="14" t="s">
        <v>289</v>
      </c>
      <c r="E16" s="14" t="s">
        <v>290</v>
      </c>
    </row>
    <row r="17" customFormat="false" ht="35.05" hidden="false" customHeight="false" outlineLevel="0" collapsed="false">
      <c r="A17" s="14" t="s">
        <v>287</v>
      </c>
      <c r="B17" s="13" t="s">
        <v>32</v>
      </c>
      <c r="C17" s="14" t="s">
        <v>288</v>
      </c>
      <c r="D17" s="14" t="s">
        <v>291</v>
      </c>
      <c r="E17" s="14" t="s">
        <v>292</v>
      </c>
    </row>
  </sheetData>
  <autoFilter ref="A1:E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86"/>
  </cols>
  <sheetData>
    <row r="1" customFormat="false" ht="30" hidden="false" customHeight="true" outlineLevel="0" collapsed="false">
      <c r="A1" s="6" t="s">
        <v>17</v>
      </c>
      <c r="B1" s="6" t="s">
        <v>242</v>
      </c>
    </row>
    <row r="2" customFormat="false" ht="23.85" hidden="false" customHeight="false" outlineLevel="0" collapsed="false">
      <c r="A2" s="14" t="s">
        <v>293</v>
      </c>
      <c r="B2" s="14" t="s">
        <v>294</v>
      </c>
    </row>
    <row r="3" customFormat="false" ht="15" hidden="false" customHeight="false" outlineLevel="0" collapsed="false">
      <c r="A3" s="14" t="s">
        <v>295</v>
      </c>
      <c r="B3" s="14" t="s">
        <v>296</v>
      </c>
    </row>
    <row r="4" customFormat="false" ht="15" hidden="false" customHeight="false" outlineLevel="0" collapsed="false">
      <c r="A4" s="14" t="s">
        <v>297</v>
      </c>
      <c r="B4" s="14" t="s">
        <v>298</v>
      </c>
    </row>
    <row r="5" customFormat="false" ht="23.85" hidden="false" customHeight="false" outlineLevel="0" collapsed="false">
      <c r="A5" s="14" t="s">
        <v>299</v>
      </c>
      <c r="B5" s="14" t="s">
        <v>300</v>
      </c>
    </row>
    <row r="6" customFormat="false" ht="15" hidden="false" customHeight="false" outlineLevel="0" collapsed="false">
      <c r="A6" s="14" t="s">
        <v>301</v>
      </c>
      <c r="B6" s="14" t="s">
        <v>302</v>
      </c>
    </row>
    <row r="7" customFormat="false" ht="23.85" hidden="false" customHeight="false" outlineLevel="0" collapsed="false">
      <c r="A7" s="14" t="s">
        <v>303</v>
      </c>
      <c r="B7" s="14" t="s">
        <v>304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50"/>
  </cols>
  <sheetData>
    <row r="1" customFormat="false" ht="30" hidden="false" customHeight="true" outlineLevel="0" collapsed="false">
      <c r="A1" s="6" t="s">
        <v>239</v>
      </c>
      <c r="B1" s="6" t="s">
        <v>240</v>
      </c>
      <c r="C1" s="6" t="s">
        <v>241</v>
      </c>
      <c r="D1" s="6" t="s">
        <v>305</v>
      </c>
      <c r="E1" s="6" t="s">
        <v>306</v>
      </c>
      <c r="F1" s="6" t="s">
        <v>21</v>
      </c>
      <c r="G1" s="6" t="s">
        <v>307</v>
      </c>
      <c r="H1" s="6" t="s">
        <v>19</v>
      </c>
      <c r="I1" s="6" t="s">
        <v>243</v>
      </c>
    </row>
    <row r="2" customFormat="false" ht="35.05" hidden="false" customHeight="false" outlineLevel="0" collapsed="false">
      <c r="A2" s="8" t="s">
        <v>134</v>
      </c>
      <c r="B2" s="7" t="s">
        <v>26</v>
      </c>
      <c r="C2" s="8" t="s">
        <v>284</v>
      </c>
      <c r="D2" s="7" t="n">
        <v>10</v>
      </c>
      <c r="E2" s="7" t="s">
        <v>308</v>
      </c>
      <c r="F2" s="8" t="s">
        <v>136</v>
      </c>
      <c r="G2" s="7" t="s">
        <v>309</v>
      </c>
      <c r="H2" s="7" t="s">
        <v>27</v>
      </c>
      <c r="I2" s="8" t="s">
        <v>137</v>
      </c>
    </row>
    <row r="3" customFormat="false" ht="35.05" hidden="false" customHeight="false" outlineLevel="0" collapsed="false">
      <c r="A3" s="8" t="s">
        <v>129</v>
      </c>
      <c r="B3" s="7" t="s">
        <v>26</v>
      </c>
      <c r="C3" s="8" t="s">
        <v>284</v>
      </c>
      <c r="D3" s="7" t="n">
        <v>10</v>
      </c>
      <c r="E3" s="7" t="s">
        <v>308</v>
      </c>
      <c r="F3" s="8" t="s">
        <v>131</v>
      </c>
      <c r="G3" s="7" t="s">
        <v>310</v>
      </c>
      <c r="H3" s="7" t="s">
        <v>27</v>
      </c>
      <c r="I3" s="8" t="s">
        <v>132</v>
      </c>
    </row>
    <row r="4" customFormat="false" ht="35.05" hidden="false" customHeight="false" outlineLevel="0" collapsed="false">
      <c r="A4" s="15" t="s">
        <v>134</v>
      </c>
      <c r="B4" s="16" t="s">
        <v>32</v>
      </c>
      <c r="C4" s="15" t="s">
        <v>284</v>
      </c>
      <c r="D4" s="16" t="n">
        <v>10</v>
      </c>
      <c r="E4" s="16" t="s">
        <v>311</v>
      </c>
      <c r="F4" s="15" t="s">
        <v>136</v>
      </c>
      <c r="G4" s="16" t="s">
        <v>310</v>
      </c>
      <c r="H4" s="16" t="s">
        <v>312</v>
      </c>
      <c r="I4" s="15" t="s">
        <v>286</v>
      </c>
    </row>
    <row r="5" customFormat="false" ht="46.25" hidden="false" customHeight="false" outlineLevel="0" collapsed="false">
      <c r="A5" s="10" t="s">
        <v>31</v>
      </c>
      <c r="B5" s="9" t="s">
        <v>32</v>
      </c>
      <c r="C5" s="10" t="s">
        <v>284</v>
      </c>
      <c r="D5" s="9" t="n">
        <v>10</v>
      </c>
      <c r="E5" s="9" t="s">
        <v>311</v>
      </c>
      <c r="F5" s="10" t="s">
        <v>29</v>
      </c>
      <c r="G5" s="9" t="s">
        <v>313</v>
      </c>
      <c r="H5" s="9" t="s">
        <v>33</v>
      </c>
      <c r="I5" s="10" t="s">
        <v>35</v>
      </c>
    </row>
    <row r="6" customFormat="false" ht="35.05" hidden="false" customHeight="false" outlineLevel="0" collapsed="false">
      <c r="A6" s="10" t="s">
        <v>226</v>
      </c>
      <c r="B6" s="9" t="s">
        <v>26</v>
      </c>
      <c r="C6" s="10" t="s">
        <v>314</v>
      </c>
      <c r="D6" s="9" t="n">
        <v>10</v>
      </c>
      <c r="E6" s="9" t="s">
        <v>308</v>
      </c>
      <c r="F6" s="10" t="s">
        <v>29</v>
      </c>
      <c r="G6" s="9" t="s">
        <v>225</v>
      </c>
      <c r="H6" s="9" t="s">
        <v>33</v>
      </c>
      <c r="I6" s="10" t="s">
        <v>228</v>
      </c>
    </row>
    <row r="7" customFormat="false" ht="35.05" hidden="false" customHeight="false" outlineLevel="0" collapsed="false">
      <c r="A7" s="10" t="s">
        <v>229</v>
      </c>
      <c r="B7" s="9" t="s">
        <v>32</v>
      </c>
      <c r="C7" s="10" t="s">
        <v>314</v>
      </c>
      <c r="D7" s="9" t="n">
        <v>10</v>
      </c>
      <c r="E7" s="9" t="s">
        <v>311</v>
      </c>
      <c r="F7" s="10" t="s">
        <v>29</v>
      </c>
      <c r="G7" s="9" t="s">
        <v>225</v>
      </c>
      <c r="H7" s="9" t="s">
        <v>33</v>
      </c>
      <c r="I7" s="10" t="s">
        <v>231</v>
      </c>
    </row>
    <row r="8" customFormat="false" ht="35.05" hidden="false" customHeight="false" outlineLevel="0" collapsed="false">
      <c r="A8" s="10" t="s">
        <v>232</v>
      </c>
      <c r="B8" s="9" t="s">
        <v>32</v>
      </c>
      <c r="C8" s="10" t="s">
        <v>314</v>
      </c>
      <c r="D8" s="9" t="n">
        <v>10</v>
      </c>
      <c r="E8" s="9" t="s">
        <v>311</v>
      </c>
      <c r="F8" s="10" t="s">
        <v>29</v>
      </c>
      <c r="G8" s="9" t="s">
        <v>225</v>
      </c>
      <c r="H8" s="9" t="s">
        <v>33</v>
      </c>
      <c r="I8" s="10" t="s">
        <v>233</v>
      </c>
    </row>
    <row r="9" customFormat="false" ht="35.05" hidden="false" customHeight="false" outlineLevel="0" collapsed="false">
      <c r="A9" s="10" t="s">
        <v>234</v>
      </c>
      <c r="B9" s="9" t="s">
        <v>32</v>
      </c>
      <c r="C9" s="10" t="s">
        <v>314</v>
      </c>
      <c r="D9" s="9" t="n">
        <v>10</v>
      </c>
      <c r="E9" s="9" t="s">
        <v>311</v>
      </c>
      <c r="F9" s="10" t="s">
        <v>29</v>
      </c>
      <c r="G9" s="9" t="s">
        <v>225</v>
      </c>
      <c r="H9" s="9" t="s">
        <v>33</v>
      </c>
      <c r="I9" s="10" t="s">
        <v>235</v>
      </c>
    </row>
    <row r="10" customFormat="false" ht="35.05" hidden="false" customHeight="false" outlineLevel="0" collapsed="false">
      <c r="A10" s="10" t="s">
        <v>236</v>
      </c>
      <c r="B10" s="9" t="s">
        <v>32</v>
      </c>
      <c r="C10" s="10" t="s">
        <v>314</v>
      </c>
      <c r="D10" s="9" t="n">
        <v>10</v>
      </c>
      <c r="E10" s="9" t="s">
        <v>311</v>
      </c>
      <c r="F10" s="10" t="s">
        <v>29</v>
      </c>
      <c r="G10" s="9" t="s">
        <v>225</v>
      </c>
      <c r="H10" s="9" t="s">
        <v>33</v>
      </c>
      <c r="I10" s="10" t="s">
        <v>238</v>
      </c>
    </row>
    <row r="11" customFormat="false" ht="35.05" hidden="false" customHeight="false" outlineLevel="0" collapsed="false">
      <c r="A11" s="10" t="s">
        <v>181</v>
      </c>
      <c r="B11" s="9" t="s">
        <v>26</v>
      </c>
      <c r="C11" s="10" t="s">
        <v>315</v>
      </c>
      <c r="D11" s="9" t="n">
        <v>10</v>
      </c>
      <c r="E11" s="9" t="s">
        <v>308</v>
      </c>
      <c r="F11" s="10" t="s">
        <v>183</v>
      </c>
      <c r="G11" s="9" t="s">
        <v>316</v>
      </c>
      <c r="H11" s="9" t="s">
        <v>33</v>
      </c>
      <c r="I11" s="10" t="s">
        <v>184</v>
      </c>
    </row>
    <row r="12" customFormat="false" ht="35.05" hidden="false" customHeight="false" outlineLevel="0" collapsed="false">
      <c r="A12" s="10" t="s">
        <v>185</v>
      </c>
      <c r="B12" s="9" t="s">
        <v>32</v>
      </c>
      <c r="C12" s="10" t="s">
        <v>315</v>
      </c>
      <c r="D12" s="9" t="n">
        <v>10</v>
      </c>
      <c r="E12" s="9" t="s">
        <v>308</v>
      </c>
      <c r="F12" s="10" t="s">
        <v>29</v>
      </c>
      <c r="G12" s="9" t="s">
        <v>316</v>
      </c>
      <c r="H12" s="9" t="s">
        <v>33</v>
      </c>
      <c r="I12" s="10" t="s">
        <v>187</v>
      </c>
    </row>
    <row r="13" customFormat="false" ht="35.05" hidden="false" customHeight="false" outlineLevel="0" collapsed="false">
      <c r="A13" s="10" t="s">
        <v>107</v>
      </c>
      <c r="B13" s="9" t="s">
        <v>26</v>
      </c>
      <c r="C13" s="10" t="s">
        <v>277</v>
      </c>
      <c r="D13" s="9" t="n">
        <v>10</v>
      </c>
      <c r="E13" s="9" t="s">
        <v>308</v>
      </c>
      <c r="F13" s="10" t="s">
        <v>29</v>
      </c>
      <c r="G13" s="9" t="s">
        <v>317</v>
      </c>
      <c r="H13" s="9" t="s">
        <v>33</v>
      </c>
      <c r="I13" s="10" t="s">
        <v>109</v>
      </c>
    </row>
    <row r="14" customFormat="false" ht="35.05" hidden="false" customHeight="false" outlineLevel="0" collapsed="false">
      <c r="A14" s="15" t="s">
        <v>107</v>
      </c>
      <c r="B14" s="16" t="s">
        <v>32</v>
      </c>
      <c r="C14" s="15" t="s">
        <v>277</v>
      </c>
      <c r="D14" s="16" t="n">
        <v>10</v>
      </c>
      <c r="E14" s="16" t="s">
        <v>311</v>
      </c>
      <c r="F14" s="15" t="s">
        <v>29</v>
      </c>
      <c r="G14" s="16" t="s">
        <v>318</v>
      </c>
      <c r="H14" s="16" t="s">
        <v>312</v>
      </c>
      <c r="I14" s="15" t="s">
        <v>279</v>
      </c>
    </row>
    <row r="15" customFormat="false" ht="35.05" hidden="false" customHeight="false" outlineLevel="0" collapsed="false">
      <c r="A15" s="15" t="s">
        <v>287</v>
      </c>
      <c r="B15" s="16" t="s">
        <v>26</v>
      </c>
      <c r="C15" s="15" t="s">
        <v>288</v>
      </c>
      <c r="D15" s="16" t="n">
        <v>10</v>
      </c>
      <c r="E15" s="16" t="s">
        <v>308</v>
      </c>
      <c r="F15" s="15" t="s">
        <v>319</v>
      </c>
      <c r="G15" s="16" t="s">
        <v>29</v>
      </c>
      <c r="H15" s="16" t="s">
        <v>312</v>
      </c>
      <c r="I15" s="15" t="s">
        <v>290</v>
      </c>
    </row>
    <row r="16" customFormat="false" ht="35.05" hidden="false" customHeight="false" outlineLevel="0" collapsed="false">
      <c r="A16" s="15" t="s">
        <v>287</v>
      </c>
      <c r="B16" s="16" t="s">
        <v>32</v>
      </c>
      <c r="C16" s="15" t="s">
        <v>288</v>
      </c>
      <c r="D16" s="16" t="n">
        <v>10</v>
      </c>
      <c r="E16" s="16" t="s">
        <v>311</v>
      </c>
      <c r="F16" s="15" t="s">
        <v>319</v>
      </c>
      <c r="G16" s="16" t="s">
        <v>29</v>
      </c>
      <c r="H16" s="16" t="s">
        <v>312</v>
      </c>
      <c r="I16" s="15" t="s">
        <v>292</v>
      </c>
    </row>
    <row r="17" customFormat="false" ht="35.05" hidden="false" customHeight="false" outlineLevel="0" collapsed="false">
      <c r="A17" s="8" t="s">
        <v>57</v>
      </c>
      <c r="B17" s="7" t="s">
        <v>26</v>
      </c>
      <c r="C17" s="8" t="s">
        <v>265</v>
      </c>
      <c r="D17" s="7" t="n">
        <v>100</v>
      </c>
      <c r="E17" s="7" t="s">
        <v>308</v>
      </c>
      <c r="F17" s="8" t="s">
        <v>59</v>
      </c>
      <c r="G17" s="7" t="s">
        <v>320</v>
      </c>
      <c r="H17" s="7" t="s">
        <v>27</v>
      </c>
      <c r="I17" s="8" t="s">
        <v>60</v>
      </c>
    </row>
    <row r="18" customFormat="false" ht="35.05" hidden="false" customHeight="false" outlineLevel="0" collapsed="false">
      <c r="A18" s="15" t="s">
        <v>264</v>
      </c>
      <c r="B18" s="16" t="s">
        <v>32</v>
      </c>
      <c r="C18" s="15" t="s">
        <v>265</v>
      </c>
      <c r="D18" s="16" t="n">
        <v>10</v>
      </c>
      <c r="E18" s="16" t="s">
        <v>311</v>
      </c>
      <c r="F18" s="15" t="s">
        <v>29</v>
      </c>
      <c r="G18" s="16" t="s">
        <v>320</v>
      </c>
      <c r="H18" s="16" t="s">
        <v>312</v>
      </c>
      <c r="I18" s="15" t="s">
        <v>267</v>
      </c>
    </row>
    <row r="19" customFormat="false" ht="35.05" hidden="false" customHeight="false" outlineLevel="0" collapsed="false">
      <c r="A19" s="10" t="s">
        <v>219</v>
      </c>
      <c r="B19" s="9" t="s">
        <v>26</v>
      </c>
      <c r="C19" s="10" t="s">
        <v>261</v>
      </c>
      <c r="D19" s="9" t="n">
        <v>10</v>
      </c>
      <c r="E19" s="9" t="s">
        <v>308</v>
      </c>
      <c r="F19" s="10" t="s">
        <v>29</v>
      </c>
      <c r="G19" s="9" t="s">
        <v>217</v>
      </c>
      <c r="H19" s="9" t="s">
        <v>33</v>
      </c>
      <c r="I19" s="10" t="s">
        <v>221</v>
      </c>
    </row>
    <row r="20" customFormat="false" ht="35.05" hidden="false" customHeight="false" outlineLevel="0" collapsed="false">
      <c r="A20" s="10" t="s">
        <v>222</v>
      </c>
      <c r="B20" s="9" t="s">
        <v>26</v>
      </c>
      <c r="C20" s="10" t="s">
        <v>261</v>
      </c>
      <c r="D20" s="9" t="n">
        <v>10</v>
      </c>
      <c r="E20" s="9" t="s">
        <v>308</v>
      </c>
      <c r="F20" s="10" t="s">
        <v>29</v>
      </c>
      <c r="G20" s="9" t="s">
        <v>217</v>
      </c>
      <c r="H20" s="9" t="s">
        <v>33</v>
      </c>
      <c r="I20" s="10" t="s">
        <v>224</v>
      </c>
    </row>
    <row r="21" customFormat="false" ht="35.05" hidden="false" customHeight="false" outlineLevel="0" collapsed="false">
      <c r="A21" s="15" t="s">
        <v>260</v>
      </c>
      <c r="B21" s="16" t="s">
        <v>26</v>
      </c>
      <c r="C21" s="15" t="s">
        <v>261</v>
      </c>
      <c r="D21" s="16" t="n">
        <v>10</v>
      </c>
      <c r="E21" s="16" t="s">
        <v>308</v>
      </c>
      <c r="F21" s="15" t="s">
        <v>29</v>
      </c>
      <c r="G21" s="16" t="s">
        <v>29</v>
      </c>
      <c r="H21" s="16" t="s">
        <v>312</v>
      </c>
      <c r="I21" s="15" t="s">
        <v>263</v>
      </c>
    </row>
    <row r="22" customFormat="false" ht="35.05" hidden="false" customHeight="false" outlineLevel="0" collapsed="false">
      <c r="A22" s="8" t="s">
        <v>25</v>
      </c>
      <c r="B22" s="7" t="s">
        <v>26</v>
      </c>
      <c r="C22" s="8" t="s">
        <v>244</v>
      </c>
      <c r="D22" s="7" t="n">
        <v>10</v>
      </c>
      <c r="E22" s="7" t="s">
        <v>308</v>
      </c>
      <c r="F22" s="8" t="s">
        <v>29</v>
      </c>
      <c r="G22" s="7" t="s">
        <v>313</v>
      </c>
      <c r="H22" s="7" t="s">
        <v>27</v>
      </c>
      <c r="I22" s="8" t="s">
        <v>30</v>
      </c>
    </row>
    <row r="23" customFormat="false" ht="35.05" hidden="false" customHeight="false" outlineLevel="0" collapsed="false">
      <c r="A23" s="10" t="s">
        <v>205</v>
      </c>
      <c r="B23" s="9" t="s">
        <v>26</v>
      </c>
      <c r="C23" s="10" t="s">
        <v>244</v>
      </c>
      <c r="D23" s="9"/>
      <c r="E23" s="9" t="s">
        <v>308</v>
      </c>
      <c r="F23" s="10" t="s">
        <v>29</v>
      </c>
      <c r="G23" s="9" t="s">
        <v>321</v>
      </c>
      <c r="H23" s="9" t="s">
        <v>33</v>
      </c>
      <c r="I23" s="10" t="s">
        <v>207</v>
      </c>
    </row>
    <row r="24" customFormat="false" ht="35.05" hidden="false" customHeight="false" outlineLevel="0" collapsed="false">
      <c r="A24" s="15" t="s">
        <v>249</v>
      </c>
      <c r="B24" s="16" t="s">
        <v>26</v>
      </c>
      <c r="C24" s="15" t="s">
        <v>244</v>
      </c>
      <c r="D24" s="16"/>
      <c r="E24" s="16" t="s">
        <v>308</v>
      </c>
      <c r="F24" s="15" t="s">
        <v>29</v>
      </c>
      <c r="G24" s="16" t="s">
        <v>29</v>
      </c>
      <c r="H24" s="16" t="s">
        <v>312</v>
      </c>
      <c r="I24" s="15" t="s">
        <v>251</v>
      </c>
    </row>
    <row r="25" customFormat="false" ht="35.05" hidden="false" customHeight="false" outlineLevel="0" collapsed="false">
      <c r="A25" s="15" t="s">
        <v>257</v>
      </c>
      <c r="B25" s="16" t="s">
        <v>26</v>
      </c>
      <c r="C25" s="15" t="s">
        <v>244</v>
      </c>
      <c r="D25" s="16"/>
      <c r="E25" s="16" t="s">
        <v>311</v>
      </c>
      <c r="F25" s="15" t="s">
        <v>29</v>
      </c>
      <c r="G25" s="16" t="s">
        <v>29</v>
      </c>
      <c r="H25" s="16" t="s">
        <v>312</v>
      </c>
      <c r="I25" s="15" t="s">
        <v>259</v>
      </c>
    </row>
    <row r="26" customFormat="false" ht="35.05" hidden="false" customHeight="false" outlineLevel="0" collapsed="false">
      <c r="A26" s="15" t="s">
        <v>25</v>
      </c>
      <c r="B26" s="16" t="s">
        <v>32</v>
      </c>
      <c r="C26" s="15" t="s">
        <v>244</v>
      </c>
      <c r="D26" s="16" t="n">
        <v>10</v>
      </c>
      <c r="E26" s="16" t="s">
        <v>311</v>
      </c>
      <c r="F26" s="15" t="s">
        <v>29</v>
      </c>
      <c r="G26" s="16" t="s">
        <v>313</v>
      </c>
      <c r="H26" s="16" t="s">
        <v>312</v>
      </c>
      <c r="I26" s="15" t="s">
        <v>246</v>
      </c>
    </row>
    <row r="27" customFormat="false" ht="35.05" hidden="false" customHeight="false" outlineLevel="0" collapsed="false">
      <c r="A27" s="15" t="s">
        <v>205</v>
      </c>
      <c r="B27" s="16" t="s">
        <v>32</v>
      </c>
      <c r="C27" s="15" t="s">
        <v>244</v>
      </c>
      <c r="D27" s="16"/>
      <c r="E27" s="16" t="s">
        <v>311</v>
      </c>
      <c r="F27" s="15" t="s">
        <v>29</v>
      </c>
      <c r="G27" s="16" t="s">
        <v>321</v>
      </c>
      <c r="H27" s="16" t="s">
        <v>312</v>
      </c>
      <c r="I27" s="15" t="s">
        <v>248</v>
      </c>
    </row>
    <row r="28" customFormat="false" ht="35.05" hidden="false" customHeight="false" outlineLevel="0" collapsed="false">
      <c r="A28" s="15" t="s">
        <v>249</v>
      </c>
      <c r="B28" s="16" t="s">
        <v>32</v>
      </c>
      <c r="C28" s="15" t="s">
        <v>244</v>
      </c>
      <c r="D28" s="16"/>
      <c r="E28" s="16" t="s">
        <v>311</v>
      </c>
      <c r="F28" s="15" t="s">
        <v>29</v>
      </c>
      <c r="G28" s="16" t="s">
        <v>29</v>
      </c>
      <c r="H28" s="16" t="s">
        <v>312</v>
      </c>
      <c r="I28" s="15" t="s">
        <v>253</v>
      </c>
    </row>
    <row r="29" customFormat="false" ht="35.05" hidden="false" customHeight="false" outlineLevel="0" collapsed="false">
      <c r="A29" s="15" t="s">
        <v>254</v>
      </c>
      <c r="B29" s="16" t="s">
        <v>32</v>
      </c>
      <c r="C29" s="15" t="s">
        <v>244</v>
      </c>
      <c r="D29" s="16" t="n">
        <v>1</v>
      </c>
      <c r="E29" s="16" t="s">
        <v>311</v>
      </c>
      <c r="F29" s="15" t="s">
        <v>29</v>
      </c>
      <c r="G29" s="16" t="s">
        <v>29</v>
      </c>
      <c r="H29" s="16" t="s">
        <v>312</v>
      </c>
      <c r="I29" s="15" t="s">
        <v>256</v>
      </c>
    </row>
    <row r="30" customFormat="false" ht="35.05" hidden="false" customHeight="false" outlineLevel="0" collapsed="false">
      <c r="A30" s="10" t="s">
        <v>43</v>
      </c>
      <c r="B30" s="9" t="s">
        <v>32</v>
      </c>
      <c r="C30" s="10" t="s">
        <v>322</v>
      </c>
      <c r="D30" s="9" t="n">
        <v>10</v>
      </c>
      <c r="E30" s="9" t="s">
        <v>311</v>
      </c>
      <c r="F30" s="10" t="s">
        <v>29</v>
      </c>
      <c r="G30" s="9" t="s">
        <v>323</v>
      </c>
      <c r="H30" s="9" t="s">
        <v>33</v>
      </c>
      <c r="I30" s="10" t="s">
        <v>45</v>
      </c>
    </row>
    <row r="31" customFormat="false" ht="35.05" hidden="false" customHeight="false" outlineLevel="0" collapsed="false">
      <c r="A31" s="10" t="s">
        <v>53</v>
      </c>
      <c r="B31" s="9" t="s">
        <v>32</v>
      </c>
      <c r="C31" s="10" t="s">
        <v>322</v>
      </c>
      <c r="D31" s="9" t="n">
        <v>10</v>
      </c>
      <c r="E31" s="9" t="s">
        <v>311</v>
      </c>
      <c r="F31" s="10" t="s">
        <v>55</v>
      </c>
      <c r="G31" s="9" t="s">
        <v>320</v>
      </c>
      <c r="H31" s="9" t="s">
        <v>33</v>
      </c>
      <c r="I31" s="10" t="s">
        <v>56</v>
      </c>
    </row>
    <row r="32" customFormat="false" ht="35.05" hidden="false" customHeight="false" outlineLevel="0" collapsed="false">
      <c r="A32" s="10" t="s">
        <v>65</v>
      </c>
      <c r="B32" s="9" t="s">
        <v>32</v>
      </c>
      <c r="C32" s="10" t="s">
        <v>322</v>
      </c>
      <c r="D32" s="9" t="n">
        <v>10</v>
      </c>
      <c r="E32" s="9" t="s">
        <v>311</v>
      </c>
      <c r="F32" s="10" t="s">
        <v>29</v>
      </c>
      <c r="G32" s="9" t="s">
        <v>324</v>
      </c>
      <c r="H32" s="9" t="s">
        <v>33</v>
      </c>
      <c r="I32" s="10" t="s">
        <v>67</v>
      </c>
    </row>
    <row r="33" customFormat="false" ht="46.25" hidden="false" customHeight="false" outlineLevel="0" collapsed="false">
      <c r="A33" s="10" t="s">
        <v>78</v>
      </c>
      <c r="B33" s="9" t="s">
        <v>32</v>
      </c>
      <c r="C33" s="10" t="s">
        <v>322</v>
      </c>
      <c r="D33" s="9" t="n">
        <v>10</v>
      </c>
      <c r="E33" s="9" t="s">
        <v>311</v>
      </c>
      <c r="F33" s="10" t="s">
        <v>29</v>
      </c>
      <c r="G33" s="9" t="s">
        <v>325</v>
      </c>
      <c r="H33" s="9" t="s">
        <v>33</v>
      </c>
      <c r="I33" s="10" t="s">
        <v>80</v>
      </c>
    </row>
    <row r="34" customFormat="false" ht="35.05" hidden="false" customHeight="false" outlineLevel="0" collapsed="false">
      <c r="A34" s="8" t="s">
        <v>68</v>
      </c>
      <c r="B34" s="7" t="s">
        <v>26</v>
      </c>
      <c r="C34" s="8" t="s">
        <v>326</v>
      </c>
      <c r="D34" s="7" t="n">
        <v>10</v>
      </c>
      <c r="E34" s="7" t="s">
        <v>308</v>
      </c>
      <c r="F34" s="8" t="s">
        <v>29</v>
      </c>
      <c r="G34" s="7" t="s">
        <v>324</v>
      </c>
      <c r="H34" s="7" t="s">
        <v>27</v>
      </c>
      <c r="I34" s="8" t="s">
        <v>70</v>
      </c>
    </row>
    <row r="35" customFormat="false" ht="46.25" hidden="false" customHeight="false" outlineLevel="0" collapsed="false">
      <c r="A35" s="10" t="s">
        <v>208</v>
      </c>
      <c r="B35" s="9" t="s">
        <v>26</v>
      </c>
      <c r="C35" s="10" t="s">
        <v>326</v>
      </c>
      <c r="D35" s="9" t="n">
        <v>10</v>
      </c>
      <c r="E35" s="9" t="s">
        <v>308</v>
      </c>
      <c r="F35" s="10" t="s">
        <v>29</v>
      </c>
      <c r="G35" s="9" t="s">
        <v>321</v>
      </c>
      <c r="H35" s="9" t="s">
        <v>33</v>
      </c>
      <c r="I35" s="10" t="s">
        <v>210</v>
      </c>
    </row>
    <row r="36" customFormat="false" ht="35.05" hidden="false" customHeight="false" outlineLevel="0" collapsed="false">
      <c r="A36" s="8" t="s">
        <v>71</v>
      </c>
      <c r="B36" s="7" t="s">
        <v>32</v>
      </c>
      <c r="C36" s="8" t="s">
        <v>326</v>
      </c>
      <c r="D36" s="7" t="n">
        <v>10</v>
      </c>
      <c r="E36" s="7" t="s">
        <v>308</v>
      </c>
      <c r="F36" s="8" t="s">
        <v>29</v>
      </c>
      <c r="G36" s="7" t="s">
        <v>324</v>
      </c>
      <c r="H36" s="7" t="s">
        <v>27</v>
      </c>
      <c r="I36" s="8" t="s">
        <v>73</v>
      </c>
    </row>
    <row r="37" customFormat="false" ht="46.25" hidden="false" customHeight="false" outlineLevel="0" collapsed="false">
      <c r="A37" s="10" t="s">
        <v>211</v>
      </c>
      <c r="B37" s="9" t="s">
        <v>32</v>
      </c>
      <c r="C37" s="10" t="s">
        <v>326</v>
      </c>
      <c r="D37" s="9" t="n">
        <v>10</v>
      </c>
      <c r="E37" s="9" t="s">
        <v>308</v>
      </c>
      <c r="F37" s="10" t="s">
        <v>29</v>
      </c>
      <c r="G37" s="9" t="s">
        <v>321</v>
      </c>
      <c r="H37" s="9" t="s">
        <v>33</v>
      </c>
      <c r="I37" s="10" t="s">
        <v>213</v>
      </c>
    </row>
    <row r="38" customFormat="false" ht="35.05" hidden="false" customHeight="false" outlineLevel="0" collapsed="false">
      <c r="A38" s="8" t="s">
        <v>144</v>
      </c>
      <c r="B38" s="7" t="s">
        <v>26</v>
      </c>
      <c r="C38" s="8" t="s">
        <v>281</v>
      </c>
      <c r="D38" s="7" t="n">
        <v>10</v>
      </c>
      <c r="E38" s="7" t="s">
        <v>308</v>
      </c>
      <c r="F38" s="8" t="s">
        <v>146</v>
      </c>
      <c r="G38" s="7" t="s">
        <v>327</v>
      </c>
      <c r="H38" s="7" t="s">
        <v>27</v>
      </c>
      <c r="I38" s="8" t="s">
        <v>147</v>
      </c>
    </row>
    <row r="39" customFormat="false" ht="35.05" hidden="false" customHeight="false" outlineLevel="0" collapsed="false">
      <c r="A39" s="8" t="s">
        <v>159</v>
      </c>
      <c r="B39" s="7" t="s">
        <v>26</v>
      </c>
      <c r="C39" s="8" t="s">
        <v>281</v>
      </c>
      <c r="D39" s="7" t="n">
        <v>10</v>
      </c>
      <c r="E39" s="7" t="s">
        <v>308</v>
      </c>
      <c r="F39" s="8" t="s">
        <v>161</v>
      </c>
      <c r="G39" s="7" t="s">
        <v>328</v>
      </c>
      <c r="H39" s="7" t="s">
        <v>27</v>
      </c>
      <c r="I39" s="8" t="s">
        <v>162</v>
      </c>
    </row>
    <row r="40" customFormat="false" ht="35.05" hidden="false" customHeight="false" outlineLevel="0" collapsed="false">
      <c r="A40" s="10" t="s">
        <v>163</v>
      </c>
      <c r="B40" s="9" t="s">
        <v>26</v>
      </c>
      <c r="C40" s="10" t="s">
        <v>281</v>
      </c>
      <c r="D40" s="9" t="n">
        <v>10</v>
      </c>
      <c r="E40" s="9" t="s">
        <v>308</v>
      </c>
      <c r="F40" s="10" t="s">
        <v>29</v>
      </c>
      <c r="G40" s="9" t="s">
        <v>328</v>
      </c>
      <c r="H40" s="9" t="s">
        <v>33</v>
      </c>
      <c r="I40" s="10" t="s">
        <v>165</v>
      </c>
    </row>
    <row r="41" customFormat="false" ht="35.05" hidden="false" customHeight="false" outlineLevel="0" collapsed="false">
      <c r="A41" s="15" t="s">
        <v>280</v>
      </c>
      <c r="B41" s="16" t="s">
        <v>32</v>
      </c>
      <c r="C41" s="15" t="s">
        <v>281</v>
      </c>
      <c r="D41" s="16" t="n">
        <v>10</v>
      </c>
      <c r="E41" s="16" t="s">
        <v>311</v>
      </c>
      <c r="F41" s="15" t="s">
        <v>146</v>
      </c>
      <c r="G41" s="16" t="s">
        <v>309</v>
      </c>
      <c r="H41" s="16" t="s">
        <v>312</v>
      </c>
      <c r="I41" s="15" t="s">
        <v>283</v>
      </c>
    </row>
    <row r="42" customFormat="false" ht="35.05" hidden="false" customHeight="false" outlineLevel="0" collapsed="false">
      <c r="A42" s="10" t="s">
        <v>148</v>
      </c>
      <c r="B42" s="9" t="s">
        <v>32</v>
      </c>
      <c r="C42" s="10" t="s">
        <v>281</v>
      </c>
      <c r="D42" s="9" t="n">
        <v>10</v>
      </c>
      <c r="E42" s="9" t="s">
        <v>311</v>
      </c>
      <c r="F42" s="10" t="s">
        <v>29</v>
      </c>
      <c r="G42" s="9" t="s">
        <v>327</v>
      </c>
      <c r="H42" s="9" t="s">
        <v>33</v>
      </c>
      <c r="I42" s="10" t="s">
        <v>150</v>
      </c>
    </row>
    <row r="43" customFormat="false" ht="35.05" hidden="false" customHeight="false" outlineLevel="0" collapsed="false">
      <c r="A43" s="10" t="s">
        <v>166</v>
      </c>
      <c r="B43" s="9" t="s">
        <v>32</v>
      </c>
      <c r="C43" s="10" t="s">
        <v>281</v>
      </c>
      <c r="D43" s="9" t="n">
        <v>10</v>
      </c>
      <c r="E43" s="9" t="s">
        <v>311</v>
      </c>
      <c r="F43" s="10" t="s">
        <v>29</v>
      </c>
      <c r="G43" s="9" t="s">
        <v>328</v>
      </c>
      <c r="H43" s="9" t="s">
        <v>33</v>
      </c>
      <c r="I43" s="10" t="s">
        <v>168</v>
      </c>
    </row>
    <row r="44" customFormat="false" ht="35.05" hidden="false" customHeight="false" outlineLevel="0" collapsed="false">
      <c r="A44" s="10" t="s">
        <v>169</v>
      </c>
      <c r="B44" s="9" t="s">
        <v>32</v>
      </c>
      <c r="C44" s="10" t="s">
        <v>281</v>
      </c>
      <c r="D44" s="9" t="n">
        <v>10</v>
      </c>
      <c r="E44" s="9" t="s">
        <v>311</v>
      </c>
      <c r="F44" s="10" t="s">
        <v>29</v>
      </c>
      <c r="G44" s="9" t="s">
        <v>328</v>
      </c>
      <c r="H44" s="9" t="s">
        <v>33</v>
      </c>
      <c r="I44" s="10" t="s">
        <v>171</v>
      </c>
    </row>
    <row r="45" customFormat="false" ht="35.05" hidden="false" customHeight="false" outlineLevel="0" collapsed="false">
      <c r="A45" s="8" t="s">
        <v>114</v>
      </c>
      <c r="B45" s="7" t="s">
        <v>26</v>
      </c>
      <c r="C45" s="8" t="s">
        <v>329</v>
      </c>
      <c r="D45" s="7" t="n">
        <v>10</v>
      </c>
      <c r="E45" s="7" t="s">
        <v>308</v>
      </c>
      <c r="F45" s="8" t="s">
        <v>29</v>
      </c>
      <c r="G45" s="7" t="s">
        <v>318</v>
      </c>
      <c r="H45" s="7" t="s">
        <v>27</v>
      </c>
      <c r="I45" s="8" t="s">
        <v>116</v>
      </c>
    </row>
    <row r="46" customFormat="false" ht="35.05" hidden="false" customHeight="false" outlineLevel="0" collapsed="false">
      <c r="A46" s="10" t="s">
        <v>117</v>
      </c>
      <c r="B46" s="9" t="s">
        <v>32</v>
      </c>
      <c r="C46" s="10" t="s">
        <v>329</v>
      </c>
      <c r="D46" s="9" t="n">
        <v>10</v>
      </c>
      <c r="E46" s="9" t="s">
        <v>311</v>
      </c>
      <c r="F46" s="10" t="s">
        <v>29</v>
      </c>
      <c r="G46" s="9" t="s">
        <v>318</v>
      </c>
      <c r="H46" s="9" t="s">
        <v>33</v>
      </c>
      <c r="I46" s="10" t="s">
        <v>119</v>
      </c>
    </row>
    <row r="47" customFormat="false" ht="35.05" hidden="false" customHeight="false" outlineLevel="0" collapsed="false">
      <c r="A47" s="8" t="s">
        <v>84</v>
      </c>
      <c r="B47" s="7" t="s">
        <v>26</v>
      </c>
      <c r="C47" s="8" t="s">
        <v>268</v>
      </c>
      <c r="D47" s="7" t="n">
        <v>10</v>
      </c>
      <c r="E47" s="7" t="s">
        <v>308</v>
      </c>
      <c r="F47" s="8" t="s">
        <v>86</v>
      </c>
      <c r="G47" s="7" t="s">
        <v>330</v>
      </c>
      <c r="H47" s="7" t="s">
        <v>27</v>
      </c>
      <c r="I47" s="8" t="s">
        <v>87</v>
      </c>
    </row>
    <row r="48" customFormat="false" ht="35.05" hidden="false" customHeight="false" outlineLevel="0" collapsed="false">
      <c r="A48" s="8" t="s">
        <v>88</v>
      </c>
      <c r="B48" s="7" t="s">
        <v>26</v>
      </c>
      <c r="C48" s="8" t="s">
        <v>268</v>
      </c>
      <c r="D48" s="7" t="n">
        <v>10</v>
      </c>
      <c r="E48" s="7" t="s">
        <v>308</v>
      </c>
      <c r="F48" s="8" t="s">
        <v>90</v>
      </c>
      <c r="G48" s="7" t="s">
        <v>330</v>
      </c>
      <c r="H48" s="7" t="s">
        <v>27</v>
      </c>
      <c r="I48" s="8" t="s">
        <v>91</v>
      </c>
    </row>
    <row r="49" customFormat="false" ht="35.05" hidden="false" customHeight="false" outlineLevel="0" collapsed="false">
      <c r="A49" s="8" t="s">
        <v>92</v>
      </c>
      <c r="B49" s="7" t="s">
        <v>26</v>
      </c>
      <c r="C49" s="8" t="s">
        <v>268</v>
      </c>
      <c r="D49" s="7" t="n">
        <v>10</v>
      </c>
      <c r="E49" s="7" t="s">
        <v>308</v>
      </c>
      <c r="F49" s="8" t="s">
        <v>94</v>
      </c>
      <c r="G49" s="7" t="s">
        <v>330</v>
      </c>
      <c r="H49" s="7" t="s">
        <v>27</v>
      </c>
      <c r="I49" s="8" t="s">
        <v>95</v>
      </c>
    </row>
    <row r="50" customFormat="false" ht="35.05" hidden="false" customHeight="false" outlineLevel="0" collapsed="false">
      <c r="A50" s="10" t="s">
        <v>104</v>
      </c>
      <c r="B50" s="9" t="s">
        <v>26</v>
      </c>
      <c r="C50" s="10" t="s">
        <v>268</v>
      </c>
      <c r="D50" s="9" t="n">
        <v>10</v>
      </c>
      <c r="E50" s="9" t="s">
        <v>308</v>
      </c>
      <c r="F50" s="10" t="s">
        <v>29</v>
      </c>
      <c r="G50" s="9" t="s">
        <v>317</v>
      </c>
      <c r="H50" s="9" t="s">
        <v>33</v>
      </c>
      <c r="I50" s="10" t="s">
        <v>106</v>
      </c>
    </row>
    <row r="51" customFormat="false" ht="35.05" hidden="false" customHeight="false" outlineLevel="0" collapsed="false">
      <c r="A51" s="15" t="s">
        <v>84</v>
      </c>
      <c r="B51" s="16" t="s">
        <v>32</v>
      </c>
      <c r="C51" s="15" t="s">
        <v>268</v>
      </c>
      <c r="D51" s="16" t="n">
        <v>10</v>
      </c>
      <c r="E51" s="16" t="s">
        <v>311</v>
      </c>
      <c r="F51" s="15" t="s">
        <v>86</v>
      </c>
      <c r="G51" s="16" t="s">
        <v>317</v>
      </c>
      <c r="H51" s="16" t="s">
        <v>312</v>
      </c>
      <c r="I51" s="15" t="s">
        <v>270</v>
      </c>
    </row>
    <row r="52" customFormat="false" ht="35.05" hidden="false" customHeight="false" outlineLevel="0" collapsed="false">
      <c r="A52" s="15" t="s">
        <v>271</v>
      </c>
      <c r="B52" s="16" t="s">
        <v>32</v>
      </c>
      <c r="C52" s="15" t="s">
        <v>268</v>
      </c>
      <c r="D52" s="16" t="n">
        <v>10</v>
      </c>
      <c r="E52" s="16" t="s">
        <v>311</v>
      </c>
      <c r="F52" s="15" t="s">
        <v>331</v>
      </c>
      <c r="G52" s="16" t="s">
        <v>317</v>
      </c>
      <c r="H52" s="16" t="s">
        <v>312</v>
      </c>
      <c r="I52" s="15" t="s">
        <v>273</v>
      </c>
    </row>
    <row r="53" customFormat="false" ht="35.05" hidden="false" customHeight="false" outlineLevel="0" collapsed="false">
      <c r="A53" s="15" t="s">
        <v>274</v>
      </c>
      <c r="B53" s="16" t="s">
        <v>32</v>
      </c>
      <c r="C53" s="15" t="s">
        <v>268</v>
      </c>
      <c r="D53" s="16" t="n">
        <v>10</v>
      </c>
      <c r="E53" s="16" t="s">
        <v>311</v>
      </c>
      <c r="F53" s="15" t="s">
        <v>94</v>
      </c>
      <c r="G53" s="16" t="s">
        <v>317</v>
      </c>
      <c r="H53" s="16" t="s">
        <v>312</v>
      </c>
      <c r="I53" s="15" t="s">
        <v>276</v>
      </c>
    </row>
    <row r="54" customFormat="false" ht="35.05" hidden="false" customHeight="false" outlineLevel="0" collapsed="false">
      <c r="A54" s="10" t="s">
        <v>96</v>
      </c>
      <c r="B54" s="9" t="s">
        <v>32</v>
      </c>
      <c r="C54" s="10" t="s">
        <v>268</v>
      </c>
      <c r="D54" s="9" t="n">
        <v>10</v>
      </c>
      <c r="E54" s="9" t="s">
        <v>311</v>
      </c>
      <c r="F54" s="10" t="s">
        <v>29</v>
      </c>
      <c r="G54" s="9" t="s">
        <v>330</v>
      </c>
      <c r="H54" s="9" t="s">
        <v>33</v>
      </c>
      <c r="I54" s="10" t="s">
        <v>98</v>
      </c>
    </row>
  </sheetData>
  <autoFilter ref="A1:I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2026-08-17T05:47:50Z</dcterms:created>
  <dc:creator>openpyxl</dc:creator>
  <dc:description/>
  <dc:language>en-US</dc:language>
  <cp:lastModifiedBy/>
  <dcterms:modified xsi:type="dcterms:W3CDTF">2026-08-17T05:47:51Z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