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Mapeo por semana" sheetId="2" state="visible" r:id="rId4"/>
    <sheet name="No reutilizables" sheetId="3" state="visible" r:id="rId5"/>
    <sheet name="Inventario completo" sheetId="4" state="visible" r:id="rId6"/>
  </sheets>
  <definedNames>
    <definedName function="false" hidden="true" localSheetId="3" name="_xlnm._FilterDatabase" vbProcedure="false">'Inventario completo'!$A$1:$I$54</definedName>
    <definedName function="false" hidden="true" localSheetId="1" name="_xlnm._FilterDatabase" vbProcedure="false">'Mapeo por semana'!$A$1:$I$42</definedName>
    <definedName function="false" hidden="true" localSheetId="2" name="_xlnm._FilterDatabase" vbProcedure="false">'No reutilizables'!$A$1:$E$17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<sst xmlns="http://schemas.openxmlformats.org/spreadsheetml/2006/main" count="859" uniqueCount="263">
  <si>
    <t xml:space="preserve">ADM 2003 · Reúso de actividades en la propuesta Python + IA</t>
  </si>
  <si>
    <t xml:space="preserve">Fuente: exports D2L 202410.1.1029 (Python + Tableau) y 202520.1.1961 (KNIME), carpeta Material Actual.</t>
  </si>
  <si>
    <t xml:space="preserve">Indicador</t>
  </si>
  <si>
    <t xml:space="preserve">Valor</t>
  </si>
  <si>
    <t xml:space="preserve">Actividades en los dos exports</t>
  </si>
  <si>
    <t xml:space="preserve">Reutilizables casi tal cual</t>
  </si>
  <si>
    <t xml:space="preserve">Adaptables (cambia herramienta o entregable)</t>
  </si>
  <si>
    <t xml:space="preserve">Descartadas</t>
  </si>
  <si>
    <t xml:space="preserve">Sin enunciado en el export de D2L</t>
  </si>
  <si>
    <t xml:space="preserve">Semanas sin ningún material heredado</t>
  </si>
  <si>
    <t xml:space="preserve">Semanas que hay que construir desde cero: 6 (uniones), 9 (causalidad y A/B), 14 (anomalías, texto y KPIs) y 15 (ética y gobernanza).</t>
  </si>
  <si>
    <t xml:space="preserve">Nota: el indicador de arriba cuenta 27 actividades sin enunciado: 26 de las 29 de 202520, que D2L exportó sin el texto de las instrucciones, más la carpeta vacía Sin título de 202410.</t>
  </si>
  <si>
    <t xml:space="preserve">Semana</t>
  </si>
  <si>
    <t xml:space="preserve">Tema de la semana</t>
  </si>
  <si>
    <t xml:space="preserve">Enfoque técnico</t>
  </si>
  <si>
    <t xml:space="preserve">Actividad heredada</t>
  </si>
  <si>
    <t xml:space="preserve">Curso de origen</t>
  </si>
  <si>
    <t xml:space="preserve">Estado</t>
  </si>
  <si>
    <t xml:space="preserve">Qué hay que cambiar</t>
  </si>
  <si>
    <t xml:space="preserve">Adjuntos</t>
  </si>
  <si>
    <t xml:space="preserve">Carpeta</t>
  </si>
  <si>
    <t xml:space="preserve">Introducción a Business Analytics y Big Data en la era de la IA</t>
  </si>
  <si>
    <t xml:space="preserve">Colab, cuadernos ejecutables, protocolo de uso de IAG y bitácora de prompts</t>
  </si>
  <si>
    <t xml:space="preserve">Contrato de Grupo</t>
  </si>
  <si>
    <t xml:space="preserve">202410 · Python + Tableau</t>
  </si>
  <si>
    <t xml:space="preserve">REUTILIZABLE</t>
  </si>
  <si>
    <t xml:space="preserve">Sirve tal cual. Añadir la firma del protocolo de uso de IA generativa que pide la semana 1.</t>
  </si>
  <si>
    <t xml:space="preserve">—</t>
  </si>
  <si>
    <t xml:space="preserve">Material Actual/Actividades Organizadas/00_Gestion_de_Curso_y_Equipos/2024_Contrato_de_Grupo/</t>
  </si>
  <si>
    <t xml:space="preserve">Sin inteligencia artificial no te van a escuchar. ¿Valor o Humo?</t>
  </si>
  <si>
    <t xml:space="preserve">202520 · KNIME</t>
  </si>
  <si>
    <t xml:space="preserve">ADAPTAR</t>
  </si>
  <si>
    <t xml:space="preserve">Debate sobre valor real frente a humo de la IA. Encaja con la apertura de la semana 1; hay que redactar el enunciado porque el export viene vacío.</t>
  </si>
  <si>
    <t xml:space="preserve">Material Actual/Actividades Organizadas/09_Casos_y_Procesos_de_Negocio/2025_Sin_inteligencia_artificial_no_te_van_a_escuchar_Valor_o_Humo/</t>
  </si>
  <si>
    <t xml:space="preserve">Business Analytics en las organizaciones. La pregunta antes del dato</t>
  </si>
  <si>
    <t xml:space="preserve">pandas: read_csv, head, info, shape. Ficha de análisis y unidad de análisis</t>
  </si>
  <si>
    <t xml:space="preserve">Taller 01 | Introducción a KNIME con Pizza Sales</t>
  </si>
  <si>
    <t xml:space="preserve">Excelente dataset de entrada. Reescribir el flujo KNIME como cuaderno Colab: read_csv, head, info, shape sobre pizza_sales.xlsx.</t>
  </si>
  <si>
    <t xml:space="preserve">Material Actual/Actividades Organizadas/02_Primer_Contacto_con_Datos_y_EDA/2025_Taller_01_Introduccion_a_KNIME_con_Pizza_Sales/</t>
  </si>
  <si>
    <t xml:space="preserve">Caso Banco Andino - Journey Map</t>
  </si>
  <si>
    <t xml:space="preserve">Blueprint del proceso de apertura de cuenta. Es la mejor actividad para la semana 2: de dónde salen los datos y cuál es la unidad de análisis. Sin código.</t>
  </si>
  <si>
    <t xml:space="preserve">Journey Maps - Datos en los negocios (1).pdf, Journey Maps - Datos en los negocios.pdf</t>
  </si>
  <si>
    <t xml:space="preserve">Material Actual/Actividades Organizadas/09_Casos_y_Procesos_de_Negocio/2024_Caso_Banco_Andino_Journey_Map/</t>
  </si>
  <si>
    <t xml:space="preserve">Estadística descriptiva aplicada al negocio</t>
  </si>
  <si>
    <t xml:space="preserve">pandas: describe, value_counts, quantile</t>
  </si>
  <si>
    <t xml:space="preserve">Taller 02 | Ejercicio: Análisis Individual Pizza Sales</t>
  </si>
  <si>
    <t xml:space="preserve">El banco de preguntas (EDA_Pizza_BancoPreguntas.docx) es estadística descriptiva pura (media frente a mediana, percentiles, dispersión, outliers) y se reutiliza casi íntegro como las doce preguntas contra reloj del laboratorio de la semana 3. Cambiar la herramienta a pandas.</t>
  </si>
  <si>
    <t xml:space="preserve">EDA_Pizza_BancoPreguntas.docx, pizza_sales.xlsx</t>
  </si>
  <si>
    <t xml:space="preserve">Material Actual/Actividades Organizadas/02_Primer_Contacto_con_Datos_y_EDA/2025_Taller_02_Ejercicio_Analisis_Individual_Pizza_Sales/</t>
  </si>
  <si>
    <t xml:space="preserve">Python | Estadística descriptiva con Pandas</t>
  </si>
  <si>
    <t xml:space="preserve">Cuaderno Colab con Credit.csv. Es el mejor calce directo del curso viejo. Solo actualizar el enunciado con media frente a mediana y la bitácora de prompts.</t>
  </si>
  <si>
    <t xml:space="preserve">Credit.csv</t>
  </si>
  <si>
    <t xml:space="preserve">Material Actual/Actividades Organizadas/03_Estadistica_Descriptiva/2024_Python_Estadistica_descriptiva_con_Pandas/</t>
  </si>
  <si>
    <t xml:space="preserve">Anatomía y calidad de los datos</t>
  </si>
  <si>
    <t xml:space="preserve">pandas: dtypes, isna, duplicated, astype</t>
  </si>
  <si>
    <t xml:space="preserve">Análisis exploratorio con KNIME</t>
  </si>
  <si>
    <t xml:space="preserve">Rehacer como inventario de calidad de datos con dtypes, isna, duplicated y astype. Es la base del Deber 2 (bitácora de limpieza).</t>
  </si>
  <si>
    <t xml:space="preserve">Material Actual/Actividades Organizadas/02_Primer_Contacto_con_Datos_y_EDA/2025_Analisis_exploratorio_con_KNIME/</t>
  </si>
  <si>
    <t xml:space="preserve">Diagnostico de la Analítica de Datos en Procesos Empresariales</t>
  </si>
  <si>
    <t xml:space="preserve">Hito del proyecto integrador, no contenido del tema de la semana: coincide con el entregable Propuesta de proyecto final de la semana 4. El diagnóstico de madurez organizacional (entrevistas, framework, oportunidades) se conserva tal cual.</t>
  </si>
  <si>
    <t xml:space="preserve">Material Actual/Actividades Organizadas/10_Proyecto_Integrador/2024_Diagnostico_de_la_Analitica_de_Datos_en_Procesos_Empresariales/</t>
  </si>
  <si>
    <t xml:space="preserve">Proyecto Final | Diagnóstico de Analítica de Datos en la Empresa</t>
  </si>
  <si>
    <t xml:space="preserve">Hito del proyecto integrador que se entrega en la semana 4. Versión mejorada de la de 202410: añade la evaluación de madurez digital con pymedigital.ec. Usar esta como base.</t>
  </si>
  <si>
    <t xml:space="preserve">Material Actual/Actividades Organizadas/10_Proyecto_Integrador/2025_Proyecto_Final_Diagnostico_de_Analitica_de_Datos_en_la_Empresa/</t>
  </si>
  <si>
    <t xml:space="preserve">Manipulación de datos I. Filtrar, derivar, agrupar y agregar</t>
  </si>
  <si>
    <t xml:space="preserve">pandas: query, assign, groupby, agg</t>
  </si>
  <si>
    <t xml:space="preserve">Participación | Taller Grupal: Análisis Exploratorio SuperStore</t>
  </si>
  <si>
    <t xml:space="preserve">Encaja con el torneo de preguntas de la semana 5. Reescribir con groupby y agg; sin enunciado en el export, hay que redactarlo de nuevo.</t>
  </si>
  <si>
    <t xml:space="preserve">Material Actual/Actividades Organizadas/02_Primer_Contacto_con_Datos_y_EDA/2025_Participacion_Taller_Grupal_Analisis_Exploratorio_SuperStore/</t>
  </si>
  <si>
    <t xml:space="preserve">Manipulación de datos II. Uniones, reestructuración y fuentes externas</t>
  </si>
  <si>
    <t xml:space="preserve">pandas: merge, concat, pivot_table, resample, read_sql, requests</t>
  </si>
  <si>
    <t xml:space="preserve">— SIN MATERIAL HEREDADO —</t>
  </si>
  <si>
    <t xml:space="preserve">CREAR</t>
  </si>
  <si>
    <t xml:space="preserve">No hay ninguna actividad heredada sobre uniones y cardinalidad. Es el hueco más grave: el error de la unión que duplica filas es justo el que llega a un directorio. Hay que crear el laboratorio de la tabla mensual de indicadores desde cuatro fuentes, cuadrada contra una cifra de control.</t>
  </si>
  <si>
    <t xml:space="preserve">Visualización de datos</t>
  </si>
  <si>
    <t xml:space="preserve">matplotlib y seaborn</t>
  </si>
  <si>
    <t xml:space="preserve">Data visualization I</t>
  </si>
  <si>
    <t xml:space="preserve">Ejercicio 2.1 de Knaflic, agnóstico de herramienta. Pedir el gráfico en matplotlib o seaborn en vez de PowerPoint.</t>
  </si>
  <si>
    <t xml:space="preserve">2.1 EXERCISE.xlsx</t>
  </si>
  <si>
    <t xml:space="preserve">Material Actual/Actividades Organizadas/04_Visualizacion_de_Datos/2024_Data_visualization_I/</t>
  </si>
  <si>
    <t xml:space="preserve">Data visualization II</t>
  </si>
  <si>
    <t xml:space="preserve">Bocetos en papel a slide. Mantener el boceto a mano y exigir que la versión final sea código.</t>
  </si>
  <si>
    <t xml:space="preserve">2.4 EXERCISE.xlsx</t>
  </si>
  <si>
    <t xml:space="preserve">Material Actual/Actividades Organizadas/04_Visualizacion_de_Datos/2024_Data_visualization_II/</t>
  </si>
  <si>
    <t xml:space="preserve">Data visualization III</t>
  </si>
  <si>
    <t xml:space="preserve">Ejercicio 2.2: mapa de calor, columnas y línea. Traducir los tres pasos a matplotlib y discutir cuál comunica mejor.</t>
  </si>
  <si>
    <t xml:space="preserve">2.2 EXERCISE.xlsx</t>
  </si>
  <si>
    <t xml:space="preserve">Material Actual/Actividades Organizadas/04_Visualizacion_de_Datos/2024_Data_visualization_III/</t>
  </si>
  <si>
    <t xml:space="preserve">Lectura Data Storytelling</t>
  </si>
  <si>
    <t xml:space="preserve">El PDF de Cole Nussbaumer Knaflic está en 99_Lecturas_y_Material_de_Apoyo, pero el export no trae el enunciado: hay que redactar de nuevo las preguntas de la lectura previa de la semana 7.</t>
  </si>
  <si>
    <t xml:space="preserve">Material Actual/Actividades Organizadas/04_Visualizacion_de_Datos/2025_Lectura_Data_Storytelling/</t>
  </si>
  <si>
    <t xml:space="preserve">Visualización avanzada y tableros</t>
  </si>
  <si>
    <t xml:space="preserve">Plotly, anotación y composición de tableros</t>
  </si>
  <si>
    <t xml:space="preserve">Data Visualization IV (Resultados financieros)</t>
  </si>
  <si>
    <t xml:space="preserve">Contar un estado de resultados a no financieros. Tal cual es storytelling estático de la semana 7; para justificar la semana 8 hay que reescribirlo como cascada interactiva en Plotly con jerarquía visual.</t>
  </si>
  <si>
    <t xml:space="preserve">Material Actual/Actividades Organizadas/04_Visualizacion_de_Datos/2024_Data_Visualization_IV_Resultados_financieros/</t>
  </si>
  <si>
    <t xml:space="preserve">Dashboard de Superstore en Tableau</t>
  </si>
  <si>
    <t xml:space="preserve">La pregunta de negocio (¿qué pasa con profit en el último año?) se conserva; el tablero se rehace en Plotly dentro del cuaderno. Tableau sale del curso.</t>
  </si>
  <si>
    <t xml:space="preserve">Material Actual/Actividades Organizadas/05_Dashboards_y_Tableros/2024_Dashboard_de_Superstore_en_Tableau/</t>
  </si>
  <si>
    <t xml:space="preserve">Comparación, variabilidad y causalidad</t>
  </si>
  <si>
    <t xml:space="preserve">crosstab, Simpson, confusión y diseño de pruebas A/B</t>
  </si>
  <si>
    <t xml:space="preserve">No hay ninguna actividad heredada sobre causalidad ni diseño experimental. Ninguno de los dos cursos anteriores tocaba pruebas A/B. Hay que crear el Deber 4 desde cero.</t>
  </si>
  <si>
    <t xml:space="preserve">Modelos analíticos. Tipos de modelos y creación de valor</t>
  </si>
  <si>
    <t xml:space="preserve">train_test_split, DummyRegressor, DummyClassifier</t>
  </si>
  <si>
    <t xml:space="preserve">Harvard Case - Data-Driven Management of Blue Detergent</t>
  </si>
  <si>
    <t xml:space="preserve">Caso HBP de decisión con datos. Encaja con la semana bisagra: asignar familia de modelo, decisión, línea base y valor anual estimado.</t>
  </si>
  <si>
    <t xml:space="preserve">HBP_DataAnalytics_case_generic (2).pdf</t>
  </si>
  <si>
    <t xml:space="preserve">Material Actual/Actividades Organizadas/09_Casos_y_Procesos_de_Negocio/2024_Harvard_Case_Data_Driven_Management_of_Blue_Detergent/</t>
  </si>
  <si>
    <t xml:space="preserve">Modelos de pronóstico. Regresión lineal y múltiple</t>
  </si>
  <si>
    <t xml:space="preserve">LinearRegression, statsmodels, residuos, MAE</t>
  </si>
  <si>
    <t xml:space="preserve">Regresión Lineal Python</t>
  </si>
  <si>
    <t xml:space="preserve">Cuaderno Colab de regresión simple con Advertising.csv. Añadir la línea base con DummyRegressor y el error porcentual que exige el cronograma nuevo.</t>
  </si>
  <si>
    <t xml:space="preserve">Advertising.csv</t>
  </si>
  <si>
    <t xml:space="preserve">Material Actual/Actividades Organizadas/06_Regresion_y_Pronostico/2024_Regresion_Lineal_Python/</t>
  </si>
  <si>
    <t xml:space="preserve">Regresión Lineal (2) Multiple</t>
  </si>
  <si>
    <t xml:space="preserve">Cuaderno de regresión múltiple. Añadir análisis de residuos y comparación honesta contra la regla ingenua.</t>
  </si>
  <si>
    <t xml:space="preserve">Advertising (1).csv</t>
  </si>
  <si>
    <t xml:space="preserve">Material Actual/Actividades Organizadas/06_Regresion_y_Pronostico/2024_Regresion_Lineal_2_Multiple/</t>
  </si>
  <si>
    <t xml:space="preserve">Regresión Lineal Parte 3</t>
  </si>
  <si>
    <t xml:space="preserve">Ejercicio de cierre del bloque. Verificar que el cuaderno de GitHub siga vivo y reencuadrarlo hacia el pronóstico del negocio del proyecto.</t>
  </si>
  <si>
    <t xml:space="preserve">Material Actual/Actividades Organizadas/06_Regresion_y_Pronostico/2024_Regresion_Lineal_Parte_3/</t>
  </si>
  <si>
    <t xml:space="preserve">Regresión publicidad, influencers y ventas 🦾🦾 en KNIME</t>
  </si>
  <si>
    <t xml:space="preserve">El encuadre de negocio (influencers) es mejor que el del cuaderno viejo. Rescatar el enunciado y montarlo sobre scikit-learn.</t>
  </si>
  <si>
    <t xml:space="preserve">Material Actual/Actividades Organizadas/06_Regresion_y_Pronostico/2025_Regresion_publicidad_influencers_y_ventas_en_KNIME/</t>
  </si>
  <si>
    <t xml:space="preserve">Regresión Lineal con KNIME: Predicción de Emisiones CO2 🌍🚗</t>
  </si>
  <si>
    <t xml:space="preserve">Buen dataset alterno para regresión múltiple. Reescribir el flujo en scikit-learn; útil como ejercicio de práctica extra.</t>
  </si>
  <si>
    <t xml:space="preserve">Material Actual/Actividades Organizadas/06_Regresion_y_Pronostico/2025_Regresion_Lineal_con_KNIME_Prediccion_de_Emisiones_CO2/</t>
  </si>
  <si>
    <t xml:space="preserve">Participación | Actividad en Clase: Regresión Múltiple</t>
  </si>
  <si>
    <t xml:space="preserve">Actividad de clase sin enunciado en el export. Redactar de nuevo como el laboratorio del miércoles de la semana 11.</t>
  </si>
  <si>
    <t xml:space="preserve">Material Actual/Actividades Organizadas/06_Regresion_y_Pronostico/2025_Participacion_Actividad_en_Clase_Regresion_Multiple/</t>
  </si>
  <si>
    <t xml:space="preserve">Modelos de propensión. Clasificación aplicada a decisiones</t>
  </si>
  <si>
    <t xml:space="preserve">LogisticRegression, DecisionTreeClassifier, confusion_matrix, umbral</t>
  </si>
  <si>
    <t xml:space="preserve">Supervised Learning - KNN | Telco Churn</t>
  </si>
  <si>
    <t xml:space="preserve">Caso de churn muy alineado con propensión. Cambiar KNN por LogisticRegression y DecisionTreeClassifier, y añadir matriz de confusión traducida a dinero y curva de ganancia.</t>
  </si>
  <si>
    <t xml:space="preserve">KNN Neighbors.pdf</t>
  </si>
  <si>
    <t xml:space="preserve">Material Actual/Actividades Organizadas/07_Clasificacion_y_Propension/2024_Supervised_Learning_KNN_Telco_Churn/</t>
  </si>
  <si>
    <t xml:space="preserve">Predicción de Abandono Laboral en KNIME 👨🏽‍🔧</t>
  </si>
  <si>
    <t xml:space="preserve">El mejor enunciado heredado: ya pide comparativa de modelos, métricas y recomendación de una página, y ya admite IA generativa. Solo hay que portar el flujo a scikit-learn y sustituir SMOTE por manejo de umbral.</t>
  </si>
  <si>
    <t xml:space="preserve">Material Actual/Actividades Organizadas/07_Clasificacion_y_Propension/2025_Prediccion_de_Abandono_Laboral_en_KNIME/</t>
  </si>
  <si>
    <t xml:space="preserve">Minería de datos. Segmentación y asociación</t>
  </si>
  <si>
    <t xml:space="preserve">KMeans, StandardScaler, RFM, canasta de mercado</t>
  </si>
  <si>
    <t xml:space="preserve">Análisis RFM + P para Superstore (Individual) Primera parte.</t>
  </si>
  <si>
    <t xml:space="preserve">Ya está en Colab y ya exige incluir el prompt final usado con el LLM, que es exactamente la política de IA del curso nuevo. Añadir KMeans y StandardScaler.</t>
  </si>
  <si>
    <t xml:space="preserve">Material Actual/Actividades Organizadas/08_Segmentacion_RFM/2024_Analisis_RFM_P_para_Superstore_Individual_Primera_parte/</t>
  </si>
  <si>
    <t xml:space="preserve">Proyecto Grupal | Análisis RFM+P: Clasificación de Clientes SuperStore</t>
  </si>
  <si>
    <t xml:space="preserve">Versión grupal del mismo análisis. Convertirla en el laboratorio de la semana 13: nombrar segmentos y escribir el mensaje comercial de cada uno.</t>
  </si>
  <si>
    <t xml:space="preserve">Material Actual/Actividades Organizadas/08_Segmentacion_RFM/2025_Proyecto_Grupal_Analisis_RFM_P_Clasificacion_de_Clientes_SuperStore/</t>
  </si>
  <si>
    <t xml:space="preserve">Anomalías, datos no estructurados y construcción de KPIs</t>
  </si>
  <si>
    <t xml:space="preserve">Detección de anomalías, LLM por API sobre texto libre, tablero de KPIs</t>
  </si>
  <si>
    <t xml:space="preserve">No hay ninguna actividad heredada sobre anomalías, texto no estructurado ni KPIs. Lo más cercano es el dashboard de Tableau, que se reubicó en la semana 8. Hay que crear el corpus de reseñas y el tablero de KPIs.</t>
  </si>
  <si>
    <t xml:space="preserve">De la predicción a la decisión. Ética y gobernanza del dato</t>
  </si>
  <si>
    <t xml:space="preserve">Auditoría de sesgo, privacidad, explicabilidad, clínica de proyectos</t>
  </si>
  <si>
    <t xml:space="preserve">No hay ninguna actividad heredada sobre ética, sesgo o privacidad. En el curso viejo esta semana era el puente KNIME a Python. Hay que crear la auditoría de sesgo y la consultoría entre grupos.</t>
  </si>
  <si>
    <t xml:space="preserve">Cierre del curso y presentación final</t>
  </si>
  <si>
    <t xml:space="preserve">Cuaderno reproducible documentado y defensa del proyecto</t>
  </si>
  <si>
    <t xml:space="preserve">Evaluación 360</t>
  </si>
  <si>
    <t xml:space="preserve">Formularios de Google por grupo. Rehacer los enlaces con los grupos nuevos del semestre.</t>
  </si>
  <si>
    <t xml:space="preserve">Material Actual/Actividades Organizadas/00_Gestion_de_Curso_y_Equipos/2024_Evaluacion_360/</t>
  </si>
  <si>
    <t xml:space="preserve">Proyecto Final - Aplicación de la Analítica de Datos en Procesos Empresariales (EN VIDEO)</t>
  </si>
  <si>
    <t xml:space="preserve">Formato video de 8 minutos. El cronograma nuevo pide defensa ante panel: conservar la rúbrica y cambiar el formato de entrega.</t>
  </si>
  <si>
    <t xml:space="preserve">Material Actual/Actividades Organizadas/10_Proyecto_Integrador/2024_Proyecto_Final_Aplicacion_de_la_Analitica_de_Datos_en_Procesos_Empresa/</t>
  </si>
  <si>
    <t xml:space="preserve">Proyecto Final - Aplicación de la Analítica de Datos en Procesos Empresariales</t>
  </si>
  <si>
    <t xml:space="preserve">Enunciado más completo. Actualizar el entregable a cuaderno reproducible más recomendación de una página, y exigir línea base declarada.</t>
  </si>
  <si>
    <t xml:space="preserve">Material Actual/Actividades Organizadas/10_Proyecto_Integrador/2025_Proyecto_Final_Aplicacion_de_la_Analitica_de_Datos_en_Procesos_Empresa/</t>
  </si>
  <si>
    <t xml:space="preserve">1-3</t>
  </si>
  <si>
    <t xml:space="preserve">Transversal / nivelación</t>
  </si>
  <si>
    <t xml:space="preserve">Cuaderno Introducción a Python</t>
  </si>
  <si>
    <t xml:space="preserve">Cuaderno Colab de fundamentos. En el cronograma nuevo no hay semana de sintaxis: pasa a material de nivelación opcional y no calificado de las semanas 1 a 3, junto a DataCamp Introduction to Python.</t>
  </si>
  <si>
    <t xml:space="preserve">Material Actual/Actividades Organizadas/01_Fundamentos_de_Python/2024_Cuaderno_Introduccion_a_Python/</t>
  </si>
  <si>
    <t xml:space="preserve">Python - Introducción a python, parte 2</t>
  </si>
  <si>
    <t xml:space="preserve">Estructuras básicas de datos. Igual que el anterior: material de nivelación opcional y no calificado de las semanas 1 a 3.</t>
  </si>
  <si>
    <t xml:space="preserve">Material Actual/Actividades Organizadas/01_Fundamentos_de_Python/2024_Python_Introduccion_a_python_parte_2/</t>
  </si>
  <si>
    <t xml:space="preserve">Transversal</t>
  </si>
  <si>
    <t xml:space="preserve">Certificaciones Datacamp</t>
  </si>
  <si>
    <t xml:space="preserve">Ruta vieja: Excel, Tableau e Introduction to Python. Reemplazar por la ruta Python del cronograma nuevo (pandas, joining data, matplotlib, statsmodels, scikit-learn).</t>
  </si>
  <si>
    <t xml:space="preserve">Material Actual/Actividades Organizadas/11_Certificaciones_DataCamp/2024_Certificaciones_Datacamp/</t>
  </si>
  <si>
    <t xml:space="preserve">Certificado Datacamp 1</t>
  </si>
  <si>
    <t xml:space="preserve">Contenedor de entrega genérico. Renombrar al curso concreto de cada semana.</t>
  </si>
  <si>
    <t xml:space="preserve">Material Actual/Actividades Organizadas/11_Certificaciones_DataCamp/2025_Certificado_Datacamp_1/</t>
  </si>
  <si>
    <t xml:space="preserve">Certificado datacamp 2</t>
  </si>
  <si>
    <t xml:space="preserve">Material Actual/Actividades Organizadas/11_Certificaciones_DataCamp/2025_Certificado_datacamp_2/</t>
  </si>
  <si>
    <t xml:space="preserve">Certificado datacamp 3</t>
  </si>
  <si>
    <t xml:space="preserve">Material Actual/Actividades Organizadas/11_Certificaciones_DataCamp/2025_Certificado_datacamp_3/</t>
  </si>
  <si>
    <t xml:space="preserve">Certificado 4 Datacamp</t>
  </si>
  <si>
    <t xml:space="preserve">Contenedor de entrega genérico. El cronograma nuevo pide ocho certificaciones y solo hay cinco carpetas de entrega: faltan tres.</t>
  </si>
  <si>
    <t xml:space="preserve">Material Actual/Actividades Organizadas/11_Certificaciones_DataCamp/2025_Certificado_4_Datacamp/</t>
  </si>
  <si>
    <t xml:space="preserve">Actividad</t>
  </si>
  <si>
    <t xml:space="preserve">Bloque temático</t>
  </si>
  <si>
    <t xml:space="preserve">Motivo</t>
  </si>
  <si>
    <t xml:space="preserve">Gestion de Curso y Equipos</t>
  </si>
  <si>
    <t xml:space="preserve">Duplicado del de 202410 y sin enunciado en el export. Conservar solo una versión.</t>
  </si>
  <si>
    <t xml:space="preserve">Material Actual/Actividades Organizadas/00_Gestion_de_Curso_y_Equipos/2025_Contrato_de_Grupo/</t>
  </si>
  <si>
    <t xml:space="preserve">Duplicado sin enunciado. Conservar la versión 202410.</t>
  </si>
  <si>
    <t xml:space="preserve">Material Actual/Actividades Organizadas/00_Gestion_de_Curso_y_Equipos/2025_Evaluacion_360/</t>
  </si>
  <si>
    <t xml:space="preserve">Giveaway Club de Casos</t>
  </si>
  <si>
    <t xml:space="preserve">Actividad promocional de un club estudiantil, sin objetivo de aprendizaje.</t>
  </si>
  <si>
    <t xml:space="preserve">Material Actual/Actividades Organizadas/00_Gestion_de_Curso_y_Equipos/2024_Giveaway_Club_de_Casos/</t>
  </si>
  <si>
    <t xml:space="preserve">Actividad promocional, sin objetivo de aprendizaje.</t>
  </si>
  <si>
    <t xml:space="preserve">Material Actual/Actividades Organizadas/00_Gestion_de_Curso_y_Equipos/2025_Giveaway_Club_de_Casos/</t>
  </si>
  <si>
    <t xml:space="preserve">Punto Extra | Asistencia: Jornadas de Salud Mental</t>
  </si>
  <si>
    <t xml:space="preserve">Punto extra administrativo, no es contenido del curso.</t>
  </si>
  <si>
    <t xml:space="preserve">Material Actual/Actividades Organizadas/00_Gestion_de_Curso_y_Equipos/2025_Punto_Extra_Asistencia_Jornadas_de_Salud_Mental/</t>
  </si>
  <si>
    <t xml:space="preserve">Sin título</t>
  </si>
  <si>
    <t xml:space="preserve">Carpeta de entrega vacía en el export, sin título ni enunciado.</t>
  </si>
  <si>
    <t xml:space="preserve">Material Actual/Actividades Organizadas/00_Gestion_de_Curso_y_Equipos/2024_Sin_titulo/</t>
  </si>
  <si>
    <t xml:space="preserve">Sistema bancario en Python</t>
  </si>
  <si>
    <t xml:space="preserve">Fundamentos de Python</t>
  </si>
  <si>
    <t xml:space="preserve">Ejercicio de programación pura (diccionarios, listas, funciones). El curso nuevo es de análisis con pandas, no de fundamentos de programación. Guardar como reto opcional.</t>
  </si>
  <si>
    <t xml:space="preserve">Material Actual/Actividades Organizadas/01_Fundamentos_de_Python/2024_Sistema_bancario_en_Python/</t>
  </si>
  <si>
    <t xml:space="preserve">Taller 03 | Estadística Descriptiva en KNIME</t>
  </si>
  <si>
    <t xml:space="preserve">Estadistica Descriptiva</t>
  </si>
  <si>
    <t xml:space="preserve">Versión KNIME del mismo contenido y sin enunciado en el export. Queda cubierto por el cuaderno de pandas de 202410.</t>
  </si>
  <si>
    <t xml:space="preserve">Material Actual/Actividades Organizadas/03_Estadistica_Descriptiva/2025_Taller_03_Estadistica_Descriptiva_en_KNIME/</t>
  </si>
  <si>
    <t xml:space="preserve">Visualizacion de Datos</t>
  </si>
  <si>
    <t xml:space="preserve">Duplicado del de 202410, mismo adjunto 2.1 EXERCISE.xlsx.</t>
  </si>
  <si>
    <t xml:space="preserve">Material Actual/Actividades Organizadas/04_Visualizacion_de_Datos/2025_Data_visualization_I/</t>
  </si>
  <si>
    <t xml:space="preserve">Participación | Data Visualization II – Diseño y Proceso</t>
  </si>
  <si>
    <t xml:space="preserve">Duplicado en formato participación, sin enunciado en el export.</t>
  </si>
  <si>
    <t xml:space="preserve">Material Actual/Actividades Organizadas/04_Visualizacion_de_Datos/2025_Participacion_Data_Visualization_II_Diseno_y_Proceso/</t>
  </si>
  <si>
    <t xml:space="preserve">Participación | Data Visualization III – Estado de Resultados</t>
  </si>
  <si>
    <t xml:space="preserve">Duplicado, mismo adjunto 2.2 EXERCISE.xlsx.</t>
  </si>
  <si>
    <t xml:space="preserve">Material Actual/Actividades Organizadas/04_Visualizacion_de_Datos/2025_Participacion_Data_Visualization_III_Estado_de_Resultados/</t>
  </si>
  <si>
    <t xml:space="preserve">Dashboards y Tableros</t>
  </si>
  <si>
    <t xml:space="preserve">Duplicado sin enunciado.</t>
  </si>
  <si>
    <t xml:space="preserve">Material Actual/Actividades Organizadas/05_Dashboards_y_Tableros/2025_Dashboard_de_Superstore_en_Tableau/</t>
  </si>
  <si>
    <t xml:space="preserve">Regresión Lineal Simple KNIME</t>
  </si>
  <si>
    <t xml:space="preserve">Regresion y Pronostico</t>
  </si>
  <si>
    <t xml:space="preserve">Mismo dataset Advertising.csv en KNIME. Cubierto por el cuaderno de 202410.</t>
  </si>
  <si>
    <t xml:space="preserve">Material Actual/Actividades Organizadas/06_Regresion_y_Pronostico/2025_Regresion_Lineal_Simple_KNIME/</t>
  </si>
  <si>
    <t xml:space="preserve">Casos y Procesos de Negocio</t>
  </si>
  <si>
    <t xml:space="preserve">Duplicado exacto, mismo PDF.</t>
  </si>
  <si>
    <t xml:space="preserve">Material Actual/Actividades Organizadas/09_Casos_y_Procesos_de_Negocio/2025_Harvard_Case_Data_Driven_Management_of_Blue_Detergent/</t>
  </si>
  <si>
    <t xml:space="preserve">Use Strategic Thinking to Create the Life You Want</t>
  </si>
  <si>
    <t xml:space="preserve">Desarrollo Personal</t>
  </si>
  <si>
    <t xml:space="preserve">Artículo de desarrollo personal (BCG/HBR). No tiene espacio temático en el cronograma nuevo; conservar como actividad opcional de cierre si se quiere.</t>
  </si>
  <si>
    <t xml:space="preserve">Material Actual/Actividades Organizadas/12_Desarrollo_Personal/2024_Use_Strategic_Thinking_to_Create_the_Life_You_Want/</t>
  </si>
  <si>
    <t xml:space="preserve">Duplicado de la anterior.</t>
  </si>
  <si>
    <t xml:space="preserve">Material Actual/Actividades Organizadas/12_Desarrollo_Personal/2025_Use_Strategic_Thinking_to_Create_the_Life_You_Want/</t>
  </si>
  <si>
    <t xml:space="preserve">Puntos</t>
  </si>
  <si>
    <t xml:space="preserve">Enunciado en el export</t>
  </si>
  <si>
    <t xml:space="preserve">Semana propuesta</t>
  </si>
  <si>
    <t xml:space="preserve">Sí</t>
  </si>
  <si>
    <t xml:space="preserve">10</t>
  </si>
  <si>
    <t xml:space="preserve">2</t>
  </si>
  <si>
    <t xml:space="preserve">No</t>
  </si>
  <si>
    <t xml:space="preserve">DESCARTAR</t>
  </si>
  <si>
    <t xml:space="preserve">1</t>
  </si>
  <si>
    <t xml:space="preserve">Certificaciones DataCamp</t>
  </si>
  <si>
    <t xml:space="preserve">Clasificacion y Propension</t>
  </si>
  <si>
    <t xml:space="preserve">12</t>
  </si>
  <si>
    <t xml:space="preserve">8</t>
  </si>
  <si>
    <t xml:space="preserve">MyLifeStrategy FORM.pdf, SLA - SLU.xlsx, Use Strategic Thinking to Create the Life You Want.pdf</t>
  </si>
  <si>
    <t xml:space="preserve">3</t>
  </si>
  <si>
    <t xml:space="preserve">16</t>
  </si>
  <si>
    <t xml:space="preserve">Primer Contacto con Datos y EDA</t>
  </si>
  <si>
    <t xml:space="preserve">4</t>
  </si>
  <si>
    <t xml:space="preserve">5</t>
  </si>
  <si>
    <t xml:space="preserve">Proyecto Integrador</t>
  </si>
  <si>
    <t xml:space="preserve">11</t>
  </si>
  <si>
    <t xml:space="preserve">Segmentacion RFM</t>
  </si>
  <si>
    <t xml:space="preserve">13</t>
  </si>
  <si>
    <t xml:space="preserve">7</t>
  </si>
  <si>
    <t xml:space="preserve">2.2 EXERCISE.xlsx, 2.4 EXERCISE.xlsx</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</si>
</sst>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name val="Arial"/>
      <family val="0"/>
      <charset val="1"/>
    </font>
    <font>
      <b val="true"/>
      <sz val="11"/>
      <color rgb="FFFFFFFF"/>
      <name val="Arial"/>
      <family val="0"/>
      <charset val="1"/>
    </font>
    <font>
      <sz val="10"/>
      <name val="Arial"/>
      <family val="0"/>
      <charset val="1"/>
    </font>
    <font>
      <b val="true"/>
      <sz val="1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C6EFCE"/>
        <bgColor rgb="FFCCFFFF"/>
      </patternFill>
    </fill>
    <fill>
      <patternFill patternType="solid">
        <fgColor rgb="FFFFEB9C"/>
        <bgColor rgb="FFFFCC99"/>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fgColor rgb="FFC6EFCE"/>
          <bgColor rgb="FF000000"/>
        </patternFill>
      </fill>
    </dxf>
    <dxf>
      <fill>
        <patternFill patternType="solid">
          <fgColor rgb="FFFFEB9C"/>
          <bgColor rgb="FF000000"/>
        </patternFill>
      </fill>
    </dxf>
    <dxf>
      <fill>
        <patternFill patternType="solid">
          <bgColor rgb="FF000000"/>
        </patternFill>
      </fill>
    </dxf>
    <dxf>
      <fill>
        <patternFill patternType="solid">
          <fgColor rgb="FFFFFFFF"/>
          <bgColor rgb="FF000000"/>
        </patternFill>
      </fill>
    </dxf>
    <dxf>
      <fill>
        <patternFill patternType="solid">
          <fgColor rgb="FFF2F2F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70"/>
    <col collapsed="false" customWidth="true" hidden="false" outlineLevel="0" max="2" min="2" style="0" width="1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row>
    <row r="5" customFormat="false" ht="15" hidden="false" customHeight="false" outlineLevel="0" collapsed="false">
      <c r="A5" s="4" t="s">
        <v>4</v>
      </c>
      <c r="B5" s="5" t="n">
        <f aca="false">COUNTA('Inventario completo'!A2:A54)</f>
        <v>53</v>
      </c>
    </row>
    <row r="6" customFormat="false" ht="15" hidden="false" customHeight="false" outlineLevel="0" collapsed="false">
      <c r="A6" s="4" t="s">
        <v>5</v>
      </c>
      <c r="B6" s="5" t="n">
        <f aca="false">COUNTIF('Inventario completo'!H2:H54,"REUTILIZABLE")</f>
        <v>12</v>
      </c>
    </row>
    <row r="7" customFormat="false" ht="15" hidden="false" customHeight="false" outlineLevel="0" collapsed="false">
      <c r="A7" s="4" t="s">
        <v>6</v>
      </c>
      <c r="B7" s="5" t="n">
        <f aca="false">COUNTIF('Inventario completo'!H2:H54,"ADAPTAR")</f>
        <v>25</v>
      </c>
    </row>
    <row r="8" customFormat="false" ht="15" hidden="false" customHeight="false" outlineLevel="0" collapsed="false">
      <c r="A8" s="4" t="s">
        <v>7</v>
      </c>
      <c r="B8" s="5" t="n">
        <f aca="false">COUNTIF('Inventario completo'!H2:H54,"DESCARTAR")</f>
        <v>16</v>
      </c>
    </row>
    <row r="9" customFormat="false" ht="15" hidden="false" customHeight="false" outlineLevel="0" collapsed="false">
      <c r="A9" s="4" t="s">
        <v>8</v>
      </c>
      <c r="B9" s="5" t="n">
        <f aca="false">COUNTIF('Inventario completo'!E2:E54,"No")</f>
        <v>27</v>
      </c>
    </row>
    <row r="10" customFormat="false" ht="15" hidden="false" customHeight="false" outlineLevel="0" collapsed="false">
      <c r="A10" s="4" t="s">
        <v>9</v>
      </c>
      <c r="B10" s="5" t="n">
        <f aca="false">COUNTIF('Mapeo por semana'!F2:F60,"CREAR")</f>
        <v>4</v>
      </c>
    </row>
    <row r="12" customFormat="false" ht="15" hidden="false" customHeight="false" outlineLevel="0" collapsed="false">
      <c r="A12" s="4" t="s">
        <v>10</v>
      </c>
    </row>
    <row r="13" customFormat="false" ht="15" hidden="false" customHeight="false" outlineLevel="0" collapsed="false">
      <c r="A13" s="4"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32"/>
    <col collapsed="false" customWidth="true" hidden="false" outlineLevel="0" max="3" min="3" style="0" width="34"/>
    <col collapsed="false" customWidth="true" hidden="false" outlineLevel="0" max="4" min="4" style="0" width="42"/>
    <col collapsed="false" customWidth="true" hidden="false" outlineLevel="0" max="5" min="5" style="0" width="22"/>
    <col collapsed="false" customWidth="true" hidden="false" outlineLevel="0" max="6" min="6" style="0" width="14"/>
    <col collapsed="false" customWidth="true" hidden="false" outlineLevel="0" max="7" min="7" style="0" width="62"/>
    <col collapsed="false" customWidth="true" hidden="false" outlineLevel="0" max="8" min="8" style="0" width="28"/>
    <col collapsed="false" customWidth="true" hidden="false" outlineLevel="0" max="9" min="9" style="0" width="52"/>
  </cols>
  <sheetData>
    <row r="1" customFormat="false" ht="30" hidden="false" customHeight="true" outlineLevel="0" collapsed="false">
      <c r="A1" s="6" t="s">
        <v>12</v>
      </c>
      <c r="B1" s="6" t="s">
        <v>13</v>
      </c>
      <c r="C1" s="6" t="s">
        <v>14</v>
      </c>
      <c r="D1" s="6" t="s">
        <v>15</v>
      </c>
      <c r="E1" s="6" t="s">
        <v>16</v>
      </c>
      <c r="F1" s="6" t="s">
        <v>17</v>
      </c>
      <c r="G1" s="6" t="s">
        <v>18</v>
      </c>
      <c r="H1" s="6" t="s">
        <v>19</v>
      </c>
      <c r="I1" s="6" t="s">
        <v>20</v>
      </c>
    </row>
    <row r="2" customFormat="false" ht="35.05" hidden="false" customHeight="false" outlineLevel="0" collapsed="false">
      <c r="A2" s="7" t="n">
        <v>1</v>
      </c>
      <c r="B2" s="8" t="s">
        <v>21</v>
      </c>
      <c r="C2" s="8" t="s">
        <v>22</v>
      </c>
      <c r="D2" s="8" t="s">
        <v>23</v>
      </c>
      <c r="E2" s="7" t="s">
        <v>24</v>
      </c>
      <c r="F2" s="7" t="s">
        <v>25</v>
      </c>
      <c r="G2" s="8" t="s">
        <v>26</v>
      </c>
      <c r="H2" s="8" t="s">
        <v>27</v>
      </c>
      <c r="I2" s="8" t="s">
        <v>28</v>
      </c>
    </row>
    <row r="3" customFormat="false" ht="35.05" hidden="false" customHeight="false" outlineLevel="0" collapsed="false">
      <c r="A3" s="9" t="n">
        <v>1</v>
      </c>
      <c r="B3" s="10" t="s">
        <v>21</v>
      </c>
      <c r="C3" s="10" t="s">
        <v>22</v>
      </c>
      <c r="D3" s="10" t="s">
        <v>29</v>
      </c>
      <c r="E3" s="9" t="s">
        <v>30</v>
      </c>
      <c r="F3" s="9" t="s">
        <v>31</v>
      </c>
      <c r="G3" s="10" t="s">
        <v>32</v>
      </c>
      <c r="H3" s="10" t="s">
        <v>27</v>
      </c>
      <c r="I3" s="10" t="s">
        <v>33</v>
      </c>
    </row>
    <row r="4" customFormat="false" ht="35.05" hidden="false" customHeight="false" outlineLevel="0" collapsed="false">
      <c r="A4" s="9" t="n">
        <v>2</v>
      </c>
      <c r="B4" s="10" t="s">
        <v>34</v>
      </c>
      <c r="C4" s="10" t="s">
        <v>35</v>
      </c>
      <c r="D4" s="10" t="s">
        <v>36</v>
      </c>
      <c r="E4" s="9" t="s">
        <v>30</v>
      </c>
      <c r="F4" s="9" t="s">
        <v>31</v>
      </c>
      <c r="G4" s="10" t="s">
        <v>37</v>
      </c>
      <c r="H4" s="10" t="s">
        <v>27</v>
      </c>
      <c r="I4" s="10" t="s">
        <v>38</v>
      </c>
    </row>
    <row r="5" customFormat="false" ht="35.05" hidden="false" customHeight="false" outlineLevel="0" collapsed="false">
      <c r="A5" s="7" t="n">
        <v>2</v>
      </c>
      <c r="B5" s="8" t="s">
        <v>34</v>
      </c>
      <c r="C5" s="8" t="s">
        <v>35</v>
      </c>
      <c r="D5" s="8" t="s">
        <v>39</v>
      </c>
      <c r="E5" s="7" t="s">
        <v>24</v>
      </c>
      <c r="F5" s="7" t="s">
        <v>25</v>
      </c>
      <c r="G5" s="8" t="s">
        <v>40</v>
      </c>
      <c r="H5" s="8" t="s">
        <v>41</v>
      </c>
      <c r="I5" s="8" t="s">
        <v>42</v>
      </c>
    </row>
    <row r="6" customFormat="false" ht="46.25" hidden="false" customHeight="false" outlineLevel="0" collapsed="false">
      <c r="A6" s="9" t="n">
        <v>3</v>
      </c>
      <c r="B6" s="10" t="s">
        <v>43</v>
      </c>
      <c r="C6" s="10" t="s">
        <v>44</v>
      </c>
      <c r="D6" s="10" t="s">
        <v>45</v>
      </c>
      <c r="E6" s="9" t="s">
        <v>30</v>
      </c>
      <c r="F6" s="9" t="s">
        <v>31</v>
      </c>
      <c r="G6" s="10" t="s">
        <v>46</v>
      </c>
      <c r="H6" s="10" t="s">
        <v>47</v>
      </c>
      <c r="I6" s="10" t="s">
        <v>48</v>
      </c>
    </row>
    <row r="7" customFormat="false" ht="35.05" hidden="false" customHeight="false" outlineLevel="0" collapsed="false">
      <c r="A7" s="7" t="n">
        <v>3</v>
      </c>
      <c r="B7" s="8" t="s">
        <v>43</v>
      </c>
      <c r="C7" s="8" t="s">
        <v>44</v>
      </c>
      <c r="D7" s="8" t="s">
        <v>49</v>
      </c>
      <c r="E7" s="7" t="s">
        <v>24</v>
      </c>
      <c r="F7" s="7" t="s">
        <v>25</v>
      </c>
      <c r="G7" s="8" t="s">
        <v>50</v>
      </c>
      <c r="H7" s="8" t="s">
        <v>51</v>
      </c>
      <c r="I7" s="8" t="s">
        <v>52</v>
      </c>
    </row>
    <row r="8" customFormat="false" ht="35.05" hidden="false" customHeight="false" outlineLevel="0" collapsed="false">
      <c r="A8" s="9" t="n">
        <v>4</v>
      </c>
      <c r="B8" s="10" t="s">
        <v>53</v>
      </c>
      <c r="C8" s="10" t="s">
        <v>54</v>
      </c>
      <c r="D8" s="10" t="s">
        <v>55</v>
      </c>
      <c r="E8" s="9" t="s">
        <v>30</v>
      </c>
      <c r="F8" s="9" t="s">
        <v>31</v>
      </c>
      <c r="G8" s="10" t="s">
        <v>56</v>
      </c>
      <c r="H8" s="10" t="s">
        <v>27</v>
      </c>
      <c r="I8" s="10" t="s">
        <v>57</v>
      </c>
    </row>
    <row r="9" customFormat="false" ht="46.25" hidden="false" customHeight="false" outlineLevel="0" collapsed="false">
      <c r="A9" s="7" t="n">
        <v>4</v>
      </c>
      <c r="B9" s="8" t="s">
        <v>53</v>
      </c>
      <c r="C9" s="8" t="s">
        <v>54</v>
      </c>
      <c r="D9" s="8" t="s">
        <v>58</v>
      </c>
      <c r="E9" s="7" t="s">
        <v>24</v>
      </c>
      <c r="F9" s="7" t="s">
        <v>25</v>
      </c>
      <c r="G9" s="8" t="s">
        <v>59</v>
      </c>
      <c r="H9" s="8" t="s">
        <v>27</v>
      </c>
      <c r="I9" s="8" t="s">
        <v>60</v>
      </c>
    </row>
    <row r="10" customFormat="false" ht="35.05" hidden="false" customHeight="false" outlineLevel="0" collapsed="false">
      <c r="A10" s="7" t="n">
        <v>4</v>
      </c>
      <c r="B10" s="8" t="s">
        <v>53</v>
      </c>
      <c r="C10" s="8" t="s">
        <v>54</v>
      </c>
      <c r="D10" s="8" t="s">
        <v>61</v>
      </c>
      <c r="E10" s="7" t="s">
        <v>30</v>
      </c>
      <c r="F10" s="7" t="s">
        <v>25</v>
      </c>
      <c r="G10" s="8" t="s">
        <v>62</v>
      </c>
      <c r="H10" s="8" t="s">
        <v>27</v>
      </c>
      <c r="I10" s="8" t="s">
        <v>63</v>
      </c>
    </row>
    <row r="11" customFormat="false" ht="35.05" hidden="false" customHeight="false" outlineLevel="0" collapsed="false">
      <c r="A11" s="9" t="n">
        <v>5</v>
      </c>
      <c r="B11" s="10" t="s">
        <v>64</v>
      </c>
      <c r="C11" s="10" t="s">
        <v>65</v>
      </c>
      <c r="D11" s="10" t="s">
        <v>66</v>
      </c>
      <c r="E11" s="9" t="s">
        <v>30</v>
      </c>
      <c r="F11" s="9" t="s">
        <v>31</v>
      </c>
      <c r="G11" s="10" t="s">
        <v>67</v>
      </c>
      <c r="H11" s="10" t="s">
        <v>27</v>
      </c>
      <c r="I11" s="10" t="s">
        <v>68</v>
      </c>
    </row>
    <row r="12" customFormat="false" ht="46.25" hidden="false" customHeight="false" outlineLevel="0" collapsed="false">
      <c r="A12" s="11" t="n">
        <v>6</v>
      </c>
      <c r="B12" s="12" t="s">
        <v>69</v>
      </c>
      <c r="C12" s="12" t="s">
        <v>70</v>
      </c>
      <c r="D12" s="12" t="s">
        <v>71</v>
      </c>
      <c r="E12" s="11"/>
      <c r="F12" s="11" t="s">
        <v>72</v>
      </c>
      <c r="G12" s="12" t="s">
        <v>73</v>
      </c>
      <c r="H12" s="12" t="s">
        <v>27</v>
      </c>
      <c r="I12" s="12"/>
    </row>
    <row r="13" customFormat="false" ht="35.05" hidden="false" customHeight="false" outlineLevel="0" collapsed="false">
      <c r="A13" s="7" t="n">
        <v>7</v>
      </c>
      <c r="B13" s="8" t="s">
        <v>74</v>
      </c>
      <c r="C13" s="8" t="s">
        <v>75</v>
      </c>
      <c r="D13" s="8" t="s">
        <v>76</v>
      </c>
      <c r="E13" s="7" t="s">
        <v>24</v>
      </c>
      <c r="F13" s="7" t="s">
        <v>25</v>
      </c>
      <c r="G13" s="8" t="s">
        <v>77</v>
      </c>
      <c r="H13" s="8" t="s">
        <v>78</v>
      </c>
      <c r="I13" s="8" t="s">
        <v>79</v>
      </c>
    </row>
    <row r="14" customFormat="false" ht="35.05" hidden="false" customHeight="false" outlineLevel="0" collapsed="false">
      <c r="A14" s="7" t="n">
        <v>7</v>
      </c>
      <c r="B14" s="8" t="s">
        <v>74</v>
      </c>
      <c r="C14" s="8" t="s">
        <v>75</v>
      </c>
      <c r="D14" s="8" t="s">
        <v>80</v>
      </c>
      <c r="E14" s="7" t="s">
        <v>24</v>
      </c>
      <c r="F14" s="7" t="s">
        <v>25</v>
      </c>
      <c r="G14" s="8" t="s">
        <v>81</v>
      </c>
      <c r="H14" s="8" t="s">
        <v>82</v>
      </c>
      <c r="I14" s="8" t="s">
        <v>83</v>
      </c>
    </row>
    <row r="15" customFormat="false" ht="35.05" hidden="false" customHeight="false" outlineLevel="0" collapsed="false">
      <c r="A15" s="7" t="n">
        <v>7</v>
      </c>
      <c r="B15" s="8" t="s">
        <v>74</v>
      </c>
      <c r="C15" s="8" t="s">
        <v>75</v>
      </c>
      <c r="D15" s="8" t="s">
        <v>84</v>
      </c>
      <c r="E15" s="7" t="s">
        <v>24</v>
      </c>
      <c r="F15" s="7" t="s">
        <v>25</v>
      </c>
      <c r="G15" s="8" t="s">
        <v>85</v>
      </c>
      <c r="H15" s="8" t="s">
        <v>86</v>
      </c>
      <c r="I15" s="8" t="s">
        <v>87</v>
      </c>
    </row>
    <row r="16" customFormat="false" ht="35.05" hidden="false" customHeight="false" outlineLevel="0" collapsed="false">
      <c r="A16" s="9" t="n">
        <v>7</v>
      </c>
      <c r="B16" s="10" t="s">
        <v>74</v>
      </c>
      <c r="C16" s="10" t="s">
        <v>75</v>
      </c>
      <c r="D16" s="10" t="s">
        <v>88</v>
      </c>
      <c r="E16" s="9" t="s">
        <v>30</v>
      </c>
      <c r="F16" s="9" t="s">
        <v>31</v>
      </c>
      <c r="G16" s="10" t="s">
        <v>89</v>
      </c>
      <c r="H16" s="10" t="s">
        <v>27</v>
      </c>
      <c r="I16" s="10" t="s">
        <v>90</v>
      </c>
    </row>
    <row r="17" customFormat="false" ht="35.05" hidden="false" customHeight="false" outlineLevel="0" collapsed="false">
      <c r="A17" s="9" t="n">
        <v>8</v>
      </c>
      <c r="B17" s="10" t="s">
        <v>91</v>
      </c>
      <c r="C17" s="10" t="s">
        <v>92</v>
      </c>
      <c r="D17" s="10" t="s">
        <v>93</v>
      </c>
      <c r="E17" s="9" t="s">
        <v>24</v>
      </c>
      <c r="F17" s="9" t="s">
        <v>31</v>
      </c>
      <c r="G17" s="10" t="s">
        <v>94</v>
      </c>
      <c r="H17" s="10" t="s">
        <v>27</v>
      </c>
      <c r="I17" s="10" t="s">
        <v>95</v>
      </c>
    </row>
    <row r="18" customFormat="false" ht="35.05" hidden="false" customHeight="false" outlineLevel="0" collapsed="false">
      <c r="A18" s="9" t="n">
        <v>8</v>
      </c>
      <c r="B18" s="10" t="s">
        <v>91</v>
      </c>
      <c r="C18" s="10" t="s">
        <v>92</v>
      </c>
      <c r="D18" s="10" t="s">
        <v>96</v>
      </c>
      <c r="E18" s="9" t="s">
        <v>24</v>
      </c>
      <c r="F18" s="9" t="s">
        <v>31</v>
      </c>
      <c r="G18" s="10" t="s">
        <v>97</v>
      </c>
      <c r="H18" s="10" t="s">
        <v>27</v>
      </c>
      <c r="I18" s="10" t="s">
        <v>98</v>
      </c>
    </row>
    <row r="19" customFormat="false" ht="35.05" hidden="false" customHeight="false" outlineLevel="0" collapsed="false">
      <c r="A19" s="11" t="n">
        <v>9</v>
      </c>
      <c r="B19" s="12" t="s">
        <v>99</v>
      </c>
      <c r="C19" s="12" t="s">
        <v>100</v>
      </c>
      <c r="D19" s="12" t="s">
        <v>71</v>
      </c>
      <c r="E19" s="11"/>
      <c r="F19" s="11" t="s">
        <v>72</v>
      </c>
      <c r="G19" s="12" t="s">
        <v>101</v>
      </c>
      <c r="H19" s="12" t="s">
        <v>27</v>
      </c>
      <c r="I19" s="12"/>
    </row>
    <row r="20" customFormat="false" ht="35.05" hidden="false" customHeight="false" outlineLevel="0" collapsed="false">
      <c r="A20" s="7" t="n">
        <v>10</v>
      </c>
      <c r="B20" s="8" t="s">
        <v>102</v>
      </c>
      <c r="C20" s="8" t="s">
        <v>103</v>
      </c>
      <c r="D20" s="8" t="s">
        <v>104</v>
      </c>
      <c r="E20" s="7" t="s">
        <v>24</v>
      </c>
      <c r="F20" s="7" t="s">
        <v>25</v>
      </c>
      <c r="G20" s="8" t="s">
        <v>105</v>
      </c>
      <c r="H20" s="8" t="s">
        <v>106</v>
      </c>
      <c r="I20" s="8" t="s">
        <v>107</v>
      </c>
    </row>
    <row r="21" customFormat="false" ht="35.05" hidden="false" customHeight="false" outlineLevel="0" collapsed="false">
      <c r="A21" s="7" t="n">
        <v>11</v>
      </c>
      <c r="B21" s="8" t="s">
        <v>108</v>
      </c>
      <c r="C21" s="8" t="s">
        <v>109</v>
      </c>
      <c r="D21" s="8" t="s">
        <v>110</v>
      </c>
      <c r="E21" s="7" t="s">
        <v>24</v>
      </c>
      <c r="F21" s="7" t="s">
        <v>25</v>
      </c>
      <c r="G21" s="8" t="s">
        <v>111</v>
      </c>
      <c r="H21" s="8" t="s">
        <v>112</v>
      </c>
      <c r="I21" s="8" t="s">
        <v>113</v>
      </c>
    </row>
    <row r="22" customFormat="false" ht="35.05" hidden="false" customHeight="false" outlineLevel="0" collapsed="false">
      <c r="A22" s="7" t="n">
        <v>11</v>
      </c>
      <c r="B22" s="8" t="s">
        <v>108</v>
      </c>
      <c r="C22" s="8" t="s">
        <v>109</v>
      </c>
      <c r="D22" s="8" t="s">
        <v>114</v>
      </c>
      <c r="E22" s="7" t="s">
        <v>24</v>
      </c>
      <c r="F22" s="7" t="s">
        <v>25</v>
      </c>
      <c r="G22" s="8" t="s">
        <v>115</v>
      </c>
      <c r="H22" s="8" t="s">
        <v>116</v>
      </c>
      <c r="I22" s="8" t="s">
        <v>117</v>
      </c>
    </row>
    <row r="23" customFormat="false" ht="35.05" hidden="false" customHeight="false" outlineLevel="0" collapsed="false">
      <c r="A23" s="9" t="n">
        <v>11</v>
      </c>
      <c r="B23" s="10" t="s">
        <v>108</v>
      </c>
      <c r="C23" s="10" t="s">
        <v>109</v>
      </c>
      <c r="D23" s="10" t="s">
        <v>118</v>
      </c>
      <c r="E23" s="9" t="s">
        <v>24</v>
      </c>
      <c r="F23" s="9" t="s">
        <v>31</v>
      </c>
      <c r="G23" s="10" t="s">
        <v>119</v>
      </c>
      <c r="H23" s="10" t="s">
        <v>27</v>
      </c>
      <c r="I23" s="10" t="s">
        <v>120</v>
      </c>
    </row>
    <row r="24" customFormat="false" ht="35.05" hidden="false" customHeight="false" outlineLevel="0" collapsed="false">
      <c r="A24" s="9" t="n">
        <v>11</v>
      </c>
      <c r="B24" s="10" t="s">
        <v>108</v>
      </c>
      <c r="C24" s="10" t="s">
        <v>109</v>
      </c>
      <c r="D24" s="10" t="s">
        <v>121</v>
      </c>
      <c r="E24" s="9" t="s">
        <v>30</v>
      </c>
      <c r="F24" s="9" t="s">
        <v>31</v>
      </c>
      <c r="G24" s="10" t="s">
        <v>122</v>
      </c>
      <c r="H24" s="10" t="s">
        <v>27</v>
      </c>
      <c r="I24" s="10" t="s">
        <v>123</v>
      </c>
    </row>
    <row r="25" customFormat="false" ht="35.05" hidden="false" customHeight="false" outlineLevel="0" collapsed="false">
      <c r="A25" s="9" t="n">
        <v>11</v>
      </c>
      <c r="B25" s="10" t="s">
        <v>108</v>
      </c>
      <c r="C25" s="10" t="s">
        <v>109</v>
      </c>
      <c r="D25" s="10" t="s">
        <v>124</v>
      </c>
      <c r="E25" s="9" t="s">
        <v>30</v>
      </c>
      <c r="F25" s="9" t="s">
        <v>31</v>
      </c>
      <c r="G25" s="10" t="s">
        <v>125</v>
      </c>
      <c r="H25" s="10" t="s">
        <v>27</v>
      </c>
      <c r="I25" s="10" t="s">
        <v>126</v>
      </c>
    </row>
    <row r="26" customFormat="false" ht="35.05" hidden="false" customHeight="false" outlineLevel="0" collapsed="false">
      <c r="A26" s="9" t="n">
        <v>11</v>
      </c>
      <c r="B26" s="10" t="s">
        <v>108</v>
      </c>
      <c r="C26" s="10" t="s">
        <v>109</v>
      </c>
      <c r="D26" s="10" t="s">
        <v>127</v>
      </c>
      <c r="E26" s="9" t="s">
        <v>30</v>
      </c>
      <c r="F26" s="9" t="s">
        <v>31</v>
      </c>
      <c r="G26" s="10" t="s">
        <v>128</v>
      </c>
      <c r="H26" s="10" t="s">
        <v>27</v>
      </c>
      <c r="I26" s="10" t="s">
        <v>129</v>
      </c>
    </row>
    <row r="27" customFormat="false" ht="35.05" hidden="false" customHeight="false" outlineLevel="0" collapsed="false">
      <c r="A27" s="9" t="n">
        <v>12</v>
      </c>
      <c r="B27" s="10" t="s">
        <v>130</v>
      </c>
      <c r="C27" s="10" t="s">
        <v>131</v>
      </c>
      <c r="D27" s="10" t="s">
        <v>132</v>
      </c>
      <c r="E27" s="9" t="s">
        <v>24</v>
      </c>
      <c r="F27" s="9" t="s">
        <v>31</v>
      </c>
      <c r="G27" s="10" t="s">
        <v>133</v>
      </c>
      <c r="H27" s="10" t="s">
        <v>134</v>
      </c>
      <c r="I27" s="10" t="s">
        <v>135</v>
      </c>
    </row>
    <row r="28" customFormat="false" ht="35.05" hidden="false" customHeight="false" outlineLevel="0" collapsed="false">
      <c r="A28" s="9" t="n">
        <v>12</v>
      </c>
      <c r="B28" s="10" t="s">
        <v>130</v>
      </c>
      <c r="C28" s="10" t="s">
        <v>131</v>
      </c>
      <c r="D28" s="10" t="s">
        <v>136</v>
      </c>
      <c r="E28" s="9" t="s">
        <v>30</v>
      </c>
      <c r="F28" s="9" t="s">
        <v>31</v>
      </c>
      <c r="G28" s="10" t="s">
        <v>137</v>
      </c>
      <c r="H28" s="10" t="s">
        <v>27</v>
      </c>
      <c r="I28" s="10" t="s">
        <v>138</v>
      </c>
    </row>
    <row r="29" customFormat="false" ht="35.05" hidden="false" customHeight="false" outlineLevel="0" collapsed="false">
      <c r="A29" s="7" t="n">
        <v>13</v>
      </c>
      <c r="B29" s="8" t="s">
        <v>139</v>
      </c>
      <c r="C29" s="8" t="s">
        <v>140</v>
      </c>
      <c r="D29" s="8" t="s">
        <v>141</v>
      </c>
      <c r="E29" s="7" t="s">
        <v>24</v>
      </c>
      <c r="F29" s="7" t="s">
        <v>25</v>
      </c>
      <c r="G29" s="8" t="s">
        <v>142</v>
      </c>
      <c r="H29" s="8" t="s">
        <v>27</v>
      </c>
      <c r="I29" s="8" t="s">
        <v>143</v>
      </c>
    </row>
    <row r="30" customFormat="false" ht="35.05" hidden="false" customHeight="false" outlineLevel="0" collapsed="false">
      <c r="A30" s="9" t="n">
        <v>13</v>
      </c>
      <c r="B30" s="10" t="s">
        <v>139</v>
      </c>
      <c r="C30" s="10" t="s">
        <v>140</v>
      </c>
      <c r="D30" s="10" t="s">
        <v>144</v>
      </c>
      <c r="E30" s="9" t="s">
        <v>30</v>
      </c>
      <c r="F30" s="9" t="s">
        <v>31</v>
      </c>
      <c r="G30" s="10" t="s">
        <v>145</v>
      </c>
      <c r="H30" s="10" t="s">
        <v>27</v>
      </c>
      <c r="I30" s="10" t="s">
        <v>146</v>
      </c>
    </row>
    <row r="31" customFormat="false" ht="35.05" hidden="false" customHeight="false" outlineLevel="0" collapsed="false">
      <c r="A31" s="11" t="n">
        <v>14</v>
      </c>
      <c r="B31" s="12" t="s">
        <v>147</v>
      </c>
      <c r="C31" s="12" t="s">
        <v>148</v>
      </c>
      <c r="D31" s="12" t="s">
        <v>71</v>
      </c>
      <c r="E31" s="11"/>
      <c r="F31" s="11" t="s">
        <v>72</v>
      </c>
      <c r="G31" s="12" t="s">
        <v>149</v>
      </c>
      <c r="H31" s="12" t="s">
        <v>27</v>
      </c>
      <c r="I31" s="12"/>
    </row>
    <row r="32" customFormat="false" ht="35.05" hidden="false" customHeight="false" outlineLevel="0" collapsed="false">
      <c r="A32" s="11" t="n">
        <v>15</v>
      </c>
      <c r="B32" s="12" t="s">
        <v>150</v>
      </c>
      <c r="C32" s="12" t="s">
        <v>151</v>
      </c>
      <c r="D32" s="12" t="s">
        <v>71</v>
      </c>
      <c r="E32" s="11"/>
      <c r="F32" s="11" t="s">
        <v>72</v>
      </c>
      <c r="G32" s="12" t="s">
        <v>152</v>
      </c>
      <c r="H32" s="12" t="s">
        <v>27</v>
      </c>
      <c r="I32" s="12"/>
    </row>
    <row r="33" customFormat="false" ht="35.05" hidden="false" customHeight="false" outlineLevel="0" collapsed="false">
      <c r="A33" s="9" t="n">
        <v>16</v>
      </c>
      <c r="B33" s="10" t="s">
        <v>153</v>
      </c>
      <c r="C33" s="10" t="s">
        <v>154</v>
      </c>
      <c r="D33" s="10" t="s">
        <v>155</v>
      </c>
      <c r="E33" s="9" t="s">
        <v>24</v>
      </c>
      <c r="F33" s="9" t="s">
        <v>31</v>
      </c>
      <c r="G33" s="10" t="s">
        <v>156</v>
      </c>
      <c r="H33" s="10" t="s">
        <v>27</v>
      </c>
      <c r="I33" s="10" t="s">
        <v>157</v>
      </c>
    </row>
    <row r="34" customFormat="false" ht="35.05" hidden="false" customHeight="false" outlineLevel="0" collapsed="false">
      <c r="A34" s="9" t="n">
        <v>16</v>
      </c>
      <c r="B34" s="10" t="s">
        <v>153</v>
      </c>
      <c r="C34" s="10" t="s">
        <v>154</v>
      </c>
      <c r="D34" s="10" t="s">
        <v>158</v>
      </c>
      <c r="E34" s="9" t="s">
        <v>24</v>
      </c>
      <c r="F34" s="9" t="s">
        <v>31</v>
      </c>
      <c r="G34" s="10" t="s">
        <v>159</v>
      </c>
      <c r="H34" s="10" t="s">
        <v>27</v>
      </c>
      <c r="I34" s="10" t="s">
        <v>160</v>
      </c>
    </row>
    <row r="35" customFormat="false" ht="35.05" hidden="false" customHeight="false" outlineLevel="0" collapsed="false">
      <c r="A35" s="9" t="n">
        <v>16</v>
      </c>
      <c r="B35" s="10" t="s">
        <v>153</v>
      </c>
      <c r="C35" s="10" t="s">
        <v>154</v>
      </c>
      <c r="D35" s="10" t="s">
        <v>161</v>
      </c>
      <c r="E35" s="9" t="s">
        <v>30</v>
      </c>
      <c r="F35" s="9" t="s">
        <v>31</v>
      </c>
      <c r="G35" s="10" t="s">
        <v>162</v>
      </c>
      <c r="H35" s="10" t="s">
        <v>27</v>
      </c>
      <c r="I35" s="10" t="s">
        <v>163</v>
      </c>
    </row>
    <row r="36" customFormat="false" ht="35.05" hidden="false" customHeight="false" outlineLevel="0" collapsed="false">
      <c r="A36" s="9" t="s">
        <v>164</v>
      </c>
      <c r="B36" s="10" t="s">
        <v>165</v>
      </c>
      <c r="C36" s="10"/>
      <c r="D36" s="10" t="s">
        <v>166</v>
      </c>
      <c r="E36" s="9" t="s">
        <v>24</v>
      </c>
      <c r="F36" s="9" t="s">
        <v>31</v>
      </c>
      <c r="G36" s="10" t="s">
        <v>167</v>
      </c>
      <c r="H36" s="10" t="s">
        <v>27</v>
      </c>
      <c r="I36" s="10" t="s">
        <v>168</v>
      </c>
    </row>
    <row r="37" customFormat="false" ht="35.05" hidden="false" customHeight="false" outlineLevel="0" collapsed="false">
      <c r="A37" s="9" t="s">
        <v>164</v>
      </c>
      <c r="B37" s="10" t="s">
        <v>165</v>
      </c>
      <c r="C37" s="10"/>
      <c r="D37" s="10" t="s">
        <v>169</v>
      </c>
      <c r="E37" s="9" t="s">
        <v>24</v>
      </c>
      <c r="F37" s="9" t="s">
        <v>31</v>
      </c>
      <c r="G37" s="10" t="s">
        <v>170</v>
      </c>
      <c r="H37" s="10" t="s">
        <v>27</v>
      </c>
      <c r="I37" s="10" t="s">
        <v>171</v>
      </c>
    </row>
    <row r="38" customFormat="false" ht="35.05" hidden="false" customHeight="false" outlineLevel="0" collapsed="false">
      <c r="A38" s="9" t="s">
        <v>172</v>
      </c>
      <c r="B38" s="10" t="s">
        <v>165</v>
      </c>
      <c r="C38" s="10"/>
      <c r="D38" s="10" t="s">
        <v>173</v>
      </c>
      <c r="E38" s="9" t="s">
        <v>24</v>
      </c>
      <c r="F38" s="9" t="s">
        <v>31</v>
      </c>
      <c r="G38" s="10" t="s">
        <v>174</v>
      </c>
      <c r="H38" s="10" t="s">
        <v>27</v>
      </c>
      <c r="I38" s="10" t="s">
        <v>175</v>
      </c>
    </row>
    <row r="39" customFormat="false" ht="35.05" hidden="false" customHeight="false" outlineLevel="0" collapsed="false">
      <c r="A39" s="9" t="s">
        <v>172</v>
      </c>
      <c r="B39" s="10" t="s">
        <v>165</v>
      </c>
      <c r="C39" s="10"/>
      <c r="D39" s="10" t="s">
        <v>176</v>
      </c>
      <c r="E39" s="9" t="s">
        <v>30</v>
      </c>
      <c r="F39" s="9" t="s">
        <v>31</v>
      </c>
      <c r="G39" s="10" t="s">
        <v>177</v>
      </c>
      <c r="H39" s="10" t="s">
        <v>27</v>
      </c>
      <c r="I39" s="10" t="s">
        <v>178</v>
      </c>
    </row>
    <row r="40" customFormat="false" ht="35.05" hidden="false" customHeight="false" outlineLevel="0" collapsed="false">
      <c r="A40" s="9" t="s">
        <v>172</v>
      </c>
      <c r="B40" s="10" t="s">
        <v>165</v>
      </c>
      <c r="C40" s="10"/>
      <c r="D40" s="10" t="s">
        <v>179</v>
      </c>
      <c r="E40" s="9" t="s">
        <v>30</v>
      </c>
      <c r="F40" s="9" t="s">
        <v>31</v>
      </c>
      <c r="G40" s="10" t="s">
        <v>177</v>
      </c>
      <c r="H40" s="10" t="s">
        <v>27</v>
      </c>
      <c r="I40" s="10" t="s">
        <v>180</v>
      </c>
    </row>
    <row r="41" customFormat="false" ht="35.05" hidden="false" customHeight="false" outlineLevel="0" collapsed="false">
      <c r="A41" s="9" t="s">
        <v>172</v>
      </c>
      <c r="B41" s="10" t="s">
        <v>165</v>
      </c>
      <c r="C41" s="10"/>
      <c r="D41" s="10" t="s">
        <v>181</v>
      </c>
      <c r="E41" s="9" t="s">
        <v>30</v>
      </c>
      <c r="F41" s="9" t="s">
        <v>31</v>
      </c>
      <c r="G41" s="10" t="s">
        <v>177</v>
      </c>
      <c r="H41" s="10" t="s">
        <v>27</v>
      </c>
      <c r="I41" s="10" t="s">
        <v>182</v>
      </c>
    </row>
    <row r="42" customFormat="false" ht="35.05" hidden="false" customHeight="false" outlineLevel="0" collapsed="false">
      <c r="A42" s="9" t="s">
        <v>172</v>
      </c>
      <c r="B42" s="10" t="s">
        <v>165</v>
      </c>
      <c r="C42" s="10"/>
      <c r="D42" s="10" t="s">
        <v>183</v>
      </c>
      <c r="E42" s="9" t="s">
        <v>30</v>
      </c>
      <c r="F42" s="9" t="s">
        <v>31</v>
      </c>
      <c r="G42" s="10" t="s">
        <v>184</v>
      </c>
      <c r="H42" s="10" t="s">
        <v>27</v>
      </c>
      <c r="I42" s="10" t="s">
        <v>185</v>
      </c>
    </row>
  </sheetData>
  <autoFilter ref="A1:I4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 min="2" style="0" width="22"/>
    <col collapsed="false" customWidth="true" hidden="false" outlineLevel="0" max="3" min="3" style="0" width="32"/>
    <col collapsed="false" customWidth="true" hidden="false" outlineLevel="0" max="4" min="4" style="0" width="72"/>
    <col collapsed="false" customWidth="true" hidden="false" outlineLevel="0" max="5" min="5" style="0" width="52"/>
  </cols>
  <sheetData>
    <row r="1" customFormat="false" ht="30" hidden="false" customHeight="true" outlineLevel="0" collapsed="false">
      <c r="A1" s="6" t="s">
        <v>186</v>
      </c>
      <c r="B1" s="6" t="s">
        <v>16</v>
      </c>
      <c r="C1" s="6" t="s">
        <v>187</v>
      </c>
      <c r="D1" s="6" t="s">
        <v>188</v>
      </c>
      <c r="E1" s="6" t="s">
        <v>20</v>
      </c>
    </row>
    <row r="2" customFormat="false" ht="35.05" hidden="false" customHeight="false" outlineLevel="0" collapsed="false">
      <c r="A2" s="12" t="s">
        <v>23</v>
      </c>
      <c r="B2" s="11" t="s">
        <v>30</v>
      </c>
      <c r="C2" s="12" t="s">
        <v>189</v>
      </c>
      <c r="D2" s="12" t="s">
        <v>190</v>
      </c>
      <c r="E2" s="12" t="s">
        <v>191</v>
      </c>
    </row>
    <row r="3" customFormat="false" ht="35.05" hidden="false" customHeight="false" outlineLevel="0" collapsed="false">
      <c r="A3" s="12" t="s">
        <v>155</v>
      </c>
      <c r="B3" s="11" t="s">
        <v>30</v>
      </c>
      <c r="C3" s="12" t="s">
        <v>189</v>
      </c>
      <c r="D3" s="12" t="s">
        <v>192</v>
      </c>
      <c r="E3" s="12" t="s">
        <v>193</v>
      </c>
    </row>
    <row r="4" customFormat="false" ht="35.05" hidden="false" customHeight="false" outlineLevel="0" collapsed="false">
      <c r="A4" s="12" t="s">
        <v>194</v>
      </c>
      <c r="B4" s="11" t="s">
        <v>24</v>
      </c>
      <c r="C4" s="12" t="s">
        <v>189</v>
      </c>
      <c r="D4" s="12" t="s">
        <v>195</v>
      </c>
      <c r="E4" s="12" t="s">
        <v>196</v>
      </c>
    </row>
    <row r="5" customFormat="false" ht="35.05" hidden="false" customHeight="false" outlineLevel="0" collapsed="false">
      <c r="A5" s="12" t="s">
        <v>194</v>
      </c>
      <c r="B5" s="11" t="s">
        <v>30</v>
      </c>
      <c r="C5" s="12" t="s">
        <v>189</v>
      </c>
      <c r="D5" s="12" t="s">
        <v>197</v>
      </c>
      <c r="E5" s="12" t="s">
        <v>198</v>
      </c>
    </row>
    <row r="6" customFormat="false" ht="35.05" hidden="false" customHeight="false" outlineLevel="0" collapsed="false">
      <c r="A6" s="12" t="s">
        <v>199</v>
      </c>
      <c r="B6" s="11" t="s">
        <v>30</v>
      </c>
      <c r="C6" s="12" t="s">
        <v>189</v>
      </c>
      <c r="D6" s="12" t="s">
        <v>200</v>
      </c>
      <c r="E6" s="12" t="s">
        <v>201</v>
      </c>
    </row>
    <row r="7" customFormat="false" ht="35.05" hidden="false" customHeight="false" outlineLevel="0" collapsed="false">
      <c r="A7" s="12" t="s">
        <v>202</v>
      </c>
      <c r="B7" s="11" t="s">
        <v>24</v>
      </c>
      <c r="C7" s="12" t="s">
        <v>189</v>
      </c>
      <c r="D7" s="12" t="s">
        <v>203</v>
      </c>
      <c r="E7" s="12" t="s">
        <v>204</v>
      </c>
    </row>
    <row r="8" customFormat="false" ht="35.05" hidden="false" customHeight="false" outlineLevel="0" collapsed="false">
      <c r="A8" s="12" t="s">
        <v>205</v>
      </c>
      <c r="B8" s="11" t="s">
        <v>24</v>
      </c>
      <c r="C8" s="12" t="s">
        <v>206</v>
      </c>
      <c r="D8" s="12" t="s">
        <v>207</v>
      </c>
      <c r="E8" s="12" t="s">
        <v>208</v>
      </c>
    </row>
    <row r="9" customFormat="false" ht="35.05" hidden="false" customHeight="false" outlineLevel="0" collapsed="false">
      <c r="A9" s="12" t="s">
        <v>209</v>
      </c>
      <c r="B9" s="11" t="s">
        <v>30</v>
      </c>
      <c r="C9" s="12" t="s">
        <v>210</v>
      </c>
      <c r="D9" s="12" t="s">
        <v>211</v>
      </c>
      <c r="E9" s="12" t="s">
        <v>212</v>
      </c>
    </row>
    <row r="10" customFormat="false" ht="35.05" hidden="false" customHeight="false" outlineLevel="0" collapsed="false">
      <c r="A10" s="12" t="s">
        <v>76</v>
      </c>
      <c r="B10" s="11" t="s">
        <v>30</v>
      </c>
      <c r="C10" s="12" t="s">
        <v>213</v>
      </c>
      <c r="D10" s="12" t="s">
        <v>214</v>
      </c>
      <c r="E10" s="12" t="s">
        <v>215</v>
      </c>
    </row>
    <row r="11" customFormat="false" ht="35.05" hidden="false" customHeight="false" outlineLevel="0" collapsed="false">
      <c r="A11" s="12" t="s">
        <v>216</v>
      </c>
      <c r="B11" s="11" t="s">
        <v>30</v>
      </c>
      <c r="C11" s="12" t="s">
        <v>213</v>
      </c>
      <c r="D11" s="12" t="s">
        <v>217</v>
      </c>
      <c r="E11" s="12" t="s">
        <v>218</v>
      </c>
    </row>
    <row r="12" customFormat="false" ht="35.05" hidden="false" customHeight="false" outlineLevel="0" collapsed="false">
      <c r="A12" s="12" t="s">
        <v>219</v>
      </c>
      <c r="B12" s="11" t="s">
        <v>30</v>
      </c>
      <c r="C12" s="12" t="s">
        <v>213</v>
      </c>
      <c r="D12" s="12" t="s">
        <v>220</v>
      </c>
      <c r="E12" s="12" t="s">
        <v>221</v>
      </c>
    </row>
    <row r="13" customFormat="false" ht="35.05" hidden="false" customHeight="false" outlineLevel="0" collapsed="false">
      <c r="A13" s="12" t="s">
        <v>96</v>
      </c>
      <c r="B13" s="11" t="s">
        <v>30</v>
      </c>
      <c r="C13" s="12" t="s">
        <v>222</v>
      </c>
      <c r="D13" s="12" t="s">
        <v>223</v>
      </c>
      <c r="E13" s="12" t="s">
        <v>224</v>
      </c>
    </row>
    <row r="14" customFormat="false" ht="35.05" hidden="false" customHeight="false" outlineLevel="0" collapsed="false">
      <c r="A14" s="12" t="s">
        <v>225</v>
      </c>
      <c r="B14" s="11" t="s">
        <v>30</v>
      </c>
      <c r="C14" s="12" t="s">
        <v>226</v>
      </c>
      <c r="D14" s="12" t="s">
        <v>227</v>
      </c>
      <c r="E14" s="12" t="s">
        <v>228</v>
      </c>
    </row>
    <row r="15" customFormat="false" ht="35.05" hidden="false" customHeight="false" outlineLevel="0" collapsed="false">
      <c r="A15" s="12" t="s">
        <v>104</v>
      </c>
      <c r="B15" s="11" t="s">
        <v>30</v>
      </c>
      <c r="C15" s="12" t="s">
        <v>229</v>
      </c>
      <c r="D15" s="12" t="s">
        <v>230</v>
      </c>
      <c r="E15" s="12" t="s">
        <v>231</v>
      </c>
    </row>
    <row r="16" customFormat="false" ht="35.05" hidden="false" customHeight="false" outlineLevel="0" collapsed="false">
      <c r="A16" s="12" t="s">
        <v>232</v>
      </c>
      <c r="B16" s="11" t="s">
        <v>24</v>
      </c>
      <c r="C16" s="12" t="s">
        <v>233</v>
      </c>
      <c r="D16" s="12" t="s">
        <v>234</v>
      </c>
      <c r="E16" s="12" t="s">
        <v>235</v>
      </c>
    </row>
    <row r="17" customFormat="false" ht="35.05" hidden="false" customHeight="false" outlineLevel="0" collapsed="false">
      <c r="A17" s="12" t="s">
        <v>232</v>
      </c>
      <c r="B17" s="11" t="s">
        <v>30</v>
      </c>
      <c r="C17" s="12" t="s">
        <v>233</v>
      </c>
      <c r="D17" s="12" t="s">
        <v>236</v>
      </c>
      <c r="E17" s="12" t="s">
        <v>237</v>
      </c>
    </row>
  </sheetData>
  <autoFilter ref="A1:E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 min="2" style="0" width="22"/>
    <col collapsed="false" customWidth="true" hidden="false" outlineLevel="0" max="3" min="3" style="0" width="30"/>
    <col collapsed="false" customWidth="true" hidden="false" outlineLevel="0" max="4" min="4" style="0" width="8"/>
    <col collapsed="false" customWidth="true" hidden="false" outlineLevel="0" max="5" min="5" style="0" width="14"/>
    <col collapsed="false" customWidth="true" hidden="false" outlineLevel="0" max="6" min="6" style="0" width="30"/>
    <col collapsed="false" customWidth="true" hidden="false" outlineLevel="0" max="8" min="7" style="0" width="14"/>
    <col collapsed="false" customWidth="true" hidden="false" outlineLevel="0" max="9" min="9" style="0" width="52"/>
  </cols>
  <sheetData>
    <row r="1" customFormat="false" ht="30" hidden="false" customHeight="true" outlineLevel="0" collapsed="false">
      <c r="A1" s="6" t="s">
        <v>186</v>
      </c>
      <c r="B1" s="6" t="s">
        <v>16</v>
      </c>
      <c r="C1" s="6" t="s">
        <v>187</v>
      </c>
      <c r="D1" s="6" t="s">
        <v>238</v>
      </c>
      <c r="E1" s="6" t="s">
        <v>239</v>
      </c>
      <c r="F1" s="6" t="s">
        <v>19</v>
      </c>
      <c r="G1" s="6" t="s">
        <v>240</v>
      </c>
      <c r="H1" s="6" t="s">
        <v>17</v>
      </c>
      <c r="I1" s="6" t="s">
        <v>20</v>
      </c>
    </row>
    <row r="2" customFormat="false" ht="35.05" hidden="false" customHeight="false" outlineLevel="0" collapsed="false">
      <c r="A2" s="8" t="s">
        <v>104</v>
      </c>
      <c r="B2" s="7" t="s">
        <v>24</v>
      </c>
      <c r="C2" s="8" t="s">
        <v>229</v>
      </c>
      <c r="D2" s="7" t="n">
        <v>10</v>
      </c>
      <c r="E2" s="7" t="s">
        <v>241</v>
      </c>
      <c r="F2" s="8" t="s">
        <v>106</v>
      </c>
      <c r="G2" s="7" t="s">
        <v>242</v>
      </c>
      <c r="H2" s="7" t="s">
        <v>25</v>
      </c>
      <c r="I2" s="8" t="s">
        <v>107</v>
      </c>
    </row>
    <row r="3" customFormat="false" ht="35.05" hidden="false" customHeight="false" outlineLevel="0" collapsed="false">
      <c r="A3" s="8" t="s">
        <v>39</v>
      </c>
      <c r="B3" s="7" t="s">
        <v>24</v>
      </c>
      <c r="C3" s="8" t="s">
        <v>229</v>
      </c>
      <c r="D3" s="7" t="n">
        <v>10</v>
      </c>
      <c r="E3" s="7" t="s">
        <v>241</v>
      </c>
      <c r="F3" s="8" t="s">
        <v>41</v>
      </c>
      <c r="G3" s="7" t="s">
        <v>243</v>
      </c>
      <c r="H3" s="7" t="s">
        <v>25</v>
      </c>
      <c r="I3" s="8" t="s">
        <v>42</v>
      </c>
    </row>
    <row r="4" customFormat="false" ht="35.05" hidden="false" customHeight="false" outlineLevel="0" collapsed="false">
      <c r="A4" s="13" t="s">
        <v>104</v>
      </c>
      <c r="B4" s="14" t="s">
        <v>30</v>
      </c>
      <c r="C4" s="13" t="s">
        <v>229</v>
      </c>
      <c r="D4" s="14" t="n">
        <v>10</v>
      </c>
      <c r="E4" s="14" t="s">
        <v>244</v>
      </c>
      <c r="F4" s="13" t="s">
        <v>106</v>
      </c>
      <c r="G4" s="14" t="s">
        <v>242</v>
      </c>
      <c r="H4" s="14" t="s">
        <v>245</v>
      </c>
      <c r="I4" s="13" t="s">
        <v>231</v>
      </c>
    </row>
    <row r="5" customFormat="false" ht="35.05" hidden="false" customHeight="false" outlineLevel="0" collapsed="false">
      <c r="A5" s="10" t="s">
        <v>29</v>
      </c>
      <c r="B5" s="9" t="s">
        <v>30</v>
      </c>
      <c r="C5" s="10" t="s">
        <v>229</v>
      </c>
      <c r="D5" s="9" t="n">
        <v>10</v>
      </c>
      <c r="E5" s="9" t="s">
        <v>244</v>
      </c>
      <c r="F5" s="10" t="s">
        <v>27</v>
      </c>
      <c r="G5" s="9" t="s">
        <v>246</v>
      </c>
      <c r="H5" s="9" t="s">
        <v>31</v>
      </c>
      <c r="I5" s="10" t="s">
        <v>33</v>
      </c>
    </row>
    <row r="6" customFormat="false" ht="35.05" hidden="false" customHeight="false" outlineLevel="0" collapsed="false">
      <c r="A6" s="10" t="s">
        <v>173</v>
      </c>
      <c r="B6" s="9" t="s">
        <v>24</v>
      </c>
      <c r="C6" s="10" t="s">
        <v>247</v>
      </c>
      <c r="D6" s="9" t="n">
        <v>10</v>
      </c>
      <c r="E6" s="9" t="s">
        <v>241</v>
      </c>
      <c r="F6" s="10" t="s">
        <v>27</v>
      </c>
      <c r="G6" s="9" t="s">
        <v>172</v>
      </c>
      <c r="H6" s="9" t="s">
        <v>31</v>
      </c>
      <c r="I6" s="10" t="s">
        <v>175</v>
      </c>
    </row>
    <row r="7" customFormat="false" ht="35.05" hidden="false" customHeight="false" outlineLevel="0" collapsed="false">
      <c r="A7" s="10" t="s">
        <v>176</v>
      </c>
      <c r="B7" s="9" t="s">
        <v>30</v>
      </c>
      <c r="C7" s="10" t="s">
        <v>247</v>
      </c>
      <c r="D7" s="9" t="n">
        <v>10</v>
      </c>
      <c r="E7" s="9" t="s">
        <v>244</v>
      </c>
      <c r="F7" s="10" t="s">
        <v>27</v>
      </c>
      <c r="G7" s="9" t="s">
        <v>172</v>
      </c>
      <c r="H7" s="9" t="s">
        <v>31</v>
      </c>
      <c r="I7" s="10" t="s">
        <v>178</v>
      </c>
    </row>
    <row r="8" customFormat="false" ht="35.05" hidden="false" customHeight="false" outlineLevel="0" collapsed="false">
      <c r="A8" s="10" t="s">
        <v>179</v>
      </c>
      <c r="B8" s="9" t="s">
        <v>30</v>
      </c>
      <c r="C8" s="10" t="s">
        <v>247</v>
      </c>
      <c r="D8" s="9" t="n">
        <v>10</v>
      </c>
      <c r="E8" s="9" t="s">
        <v>244</v>
      </c>
      <c r="F8" s="10" t="s">
        <v>27</v>
      </c>
      <c r="G8" s="9" t="s">
        <v>172</v>
      </c>
      <c r="H8" s="9" t="s">
        <v>31</v>
      </c>
      <c r="I8" s="10" t="s">
        <v>180</v>
      </c>
    </row>
    <row r="9" customFormat="false" ht="35.05" hidden="false" customHeight="false" outlineLevel="0" collapsed="false">
      <c r="A9" s="10" t="s">
        <v>181</v>
      </c>
      <c r="B9" s="9" t="s">
        <v>30</v>
      </c>
      <c r="C9" s="10" t="s">
        <v>247</v>
      </c>
      <c r="D9" s="9" t="n">
        <v>10</v>
      </c>
      <c r="E9" s="9" t="s">
        <v>244</v>
      </c>
      <c r="F9" s="10" t="s">
        <v>27</v>
      </c>
      <c r="G9" s="9" t="s">
        <v>172</v>
      </c>
      <c r="H9" s="9" t="s">
        <v>31</v>
      </c>
      <c r="I9" s="10" t="s">
        <v>182</v>
      </c>
    </row>
    <row r="10" customFormat="false" ht="35.05" hidden="false" customHeight="false" outlineLevel="0" collapsed="false">
      <c r="A10" s="10" t="s">
        <v>183</v>
      </c>
      <c r="B10" s="9" t="s">
        <v>30</v>
      </c>
      <c r="C10" s="10" t="s">
        <v>247</v>
      </c>
      <c r="D10" s="9" t="n">
        <v>10</v>
      </c>
      <c r="E10" s="9" t="s">
        <v>244</v>
      </c>
      <c r="F10" s="10" t="s">
        <v>27</v>
      </c>
      <c r="G10" s="9" t="s">
        <v>172</v>
      </c>
      <c r="H10" s="9" t="s">
        <v>31</v>
      </c>
      <c r="I10" s="10" t="s">
        <v>185</v>
      </c>
    </row>
    <row r="11" customFormat="false" ht="35.05" hidden="false" customHeight="false" outlineLevel="0" collapsed="false">
      <c r="A11" s="10" t="s">
        <v>132</v>
      </c>
      <c r="B11" s="9" t="s">
        <v>24</v>
      </c>
      <c r="C11" s="10" t="s">
        <v>248</v>
      </c>
      <c r="D11" s="9" t="n">
        <v>10</v>
      </c>
      <c r="E11" s="9" t="s">
        <v>241</v>
      </c>
      <c r="F11" s="10" t="s">
        <v>134</v>
      </c>
      <c r="G11" s="9" t="s">
        <v>249</v>
      </c>
      <c r="H11" s="9" t="s">
        <v>31</v>
      </c>
      <c r="I11" s="10" t="s">
        <v>135</v>
      </c>
    </row>
    <row r="12" customFormat="false" ht="35.05" hidden="false" customHeight="false" outlineLevel="0" collapsed="false">
      <c r="A12" s="10" t="s">
        <v>136</v>
      </c>
      <c r="B12" s="9" t="s">
        <v>30</v>
      </c>
      <c r="C12" s="10" t="s">
        <v>248</v>
      </c>
      <c r="D12" s="9" t="n">
        <v>10</v>
      </c>
      <c r="E12" s="9" t="s">
        <v>241</v>
      </c>
      <c r="F12" s="10" t="s">
        <v>27</v>
      </c>
      <c r="G12" s="9" t="s">
        <v>249</v>
      </c>
      <c r="H12" s="9" t="s">
        <v>31</v>
      </c>
      <c r="I12" s="10" t="s">
        <v>138</v>
      </c>
    </row>
    <row r="13" customFormat="false" ht="35.05" hidden="false" customHeight="false" outlineLevel="0" collapsed="false">
      <c r="A13" s="10" t="s">
        <v>96</v>
      </c>
      <c r="B13" s="9" t="s">
        <v>24</v>
      </c>
      <c r="C13" s="10" t="s">
        <v>222</v>
      </c>
      <c r="D13" s="9" t="n">
        <v>10</v>
      </c>
      <c r="E13" s="9" t="s">
        <v>241</v>
      </c>
      <c r="F13" s="10" t="s">
        <v>27</v>
      </c>
      <c r="G13" s="9" t="s">
        <v>250</v>
      </c>
      <c r="H13" s="9" t="s">
        <v>31</v>
      </c>
      <c r="I13" s="10" t="s">
        <v>98</v>
      </c>
    </row>
    <row r="14" customFormat="false" ht="35.05" hidden="false" customHeight="false" outlineLevel="0" collapsed="false">
      <c r="A14" s="13" t="s">
        <v>96</v>
      </c>
      <c r="B14" s="14" t="s">
        <v>30</v>
      </c>
      <c r="C14" s="13" t="s">
        <v>222</v>
      </c>
      <c r="D14" s="14" t="n">
        <v>10</v>
      </c>
      <c r="E14" s="14" t="s">
        <v>244</v>
      </c>
      <c r="F14" s="13" t="s">
        <v>27</v>
      </c>
      <c r="G14" s="14" t="s">
        <v>250</v>
      </c>
      <c r="H14" s="14" t="s">
        <v>245</v>
      </c>
      <c r="I14" s="13" t="s">
        <v>224</v>
      </c>
    </row>
    <row r="15" customFormat="false" ht="35.05" hidden="false" customHeight="false" outlineLevel="0" collapsed="false">
      <c r="A15" s="13" t="s">
        <v>232</v>
      </c>
      <c r="B15" s="14" t="s">
        <v>24</v>
      </c>
      <c r="C15" s="13" t="s">
        <v>233</v>
      </c>
      <c r="D15" s="14" t="n">
        <v>10</v>
      </c>
      <c r="E15" s="14" t="s">
        <v>241</v>
      </c>
      <c r="F15" s="13" t="s">
        <v>251</v>
      </c>
      <c r="G15" s="14" t="s">
        <v>27</v>
      </c>
      <c r="H15" s="14" t="s">
        <v>245</v>
      </c>
      <c r="I15" s="13" t="s">
        <v>235</v>
      </c>
    </row>
    <row r="16" customFormat="false" ht="35.05" hidden="false" customHeight="false" outlineLevel="0" collapsed="false">
      <c r="A16" s="13" t="s">
        <v>232</v>
      </c>
      <c r="B16" s="14" t="s">
        <v>30</v>
      </c>
      <c r="C16" s="13" t="s">
        <v>233</v>
      </c>
      <c r="D16" s="14" t="n">
        <v>10</v>
      </c>
      <c r="E16" s="14" t="s">
        <v>244</v>
      </c>
      <c r="F16" s="13" t="s">
        <v>251</v>
      </c>
      <c r="G16" s="14" t="s">
        <v>27</v>
      </c>
      <c r="H16" s="14" t="s">
        <v>245</v>
      </c>
      <c r="I16" s="13" t="s">
        <v>237</v>
      </c>
    </row>
    <row r="17" customFormat="false" ht="35.05" hidden="false" customHeight="false" outlineLevel="0" collapsed="false">
      <c r="A17" s="8" t="s">
        <v>49</v>
      </c>
      <c r="B17" s="7" t="s">
        <v>24</v>
      </c>
      <c r="C17" s="8" t="s">
        <v>210</v>
      </c>
      <c r="D17" s="7" t="n">
        <v>100</v>
      </c>
      <c r="E17" s="7" t="s">
        <v>241</v>
      </c>
      <c r="F17" s="8" t="s">
        <v>51</v>
      </c>
      <c r="G17" s="7" t="s">
        <v>252</v>
      </c>
      <c r="H17" s="7" t="s">
        <v>25</v>
      </c>
      <c r="I17" s="8" t="s">
        <v>52</v>
      </c>
    </row>
    <row r="18" customFormat="false" ht="35.05" hidden="false" customHeight="false" outlineLevel="0" collapsed="false">
      <c r="A18" s="13" t="s">
        <v>209</v>
      </c>
      <c r="B18" s="14" t="s">
        <v>30</v>
      </c>
      <c r="C18" s="13" t="s">
        <v>210</v>
      </c>
      <c r="D18" s="14" t="n">
        <v>10</v>
      </c>
      <c r="E18" s="14" t="s">
        <v>244</v>
      </c>
      <c r="F18" s="13" t="s">
        <v>27</v>
      </c>
      <c r="G18" s="14" t="s">
        <v>252</v>
      </c>
      <c r="H18" s="14" t="s">
        <v>245</v>
      </c>
      <c r="I18" s="13" t="s">
        <v>212</v>
      </c>
    </row>
    <row r="19" customFormat="false" ht="35.05" hidden="false" customHeight="false" outlineLevel="0" collapsed="false">
      <c r="A19" s="10" t="s">
        <v>166</v>
      </c>
      <c r="B19" s="9" t="s">
        <v>24</v>
      </c>
      <c r="C19" s="10" t="s">
        <v>206</v>
      </c>
      <c r="D19" s="9" t="n">
        <v>10</v>
      </c>
      <c r="E19" s="9" t="s">
        <v>241</v>
      </c>
      <c r="F19" s="10" t="s">
        <v>27</v>
      </c>
      <c r="G19" s="9" t="s">
        <v>164</v>
      </c>
      <c r="H19" s="9" t="s">
        <v>31</v>
      </c>
      <c r="I19" s="10" t="s">
        <v>168</v>
      </c>
    </row>
    <row r="20" customFormat="false" ht="35.05" hidden="false" customHeight="false" outlineLevel="0" collapsed="false">
      <c r="A20" s="10" t="s">
        <v>169</v>
      </c>
      <c r="B20" s="9" t="s">
        <v>24</v>
      </c>
      <c r="C20" s="10" t="s">
        <v>206</v>
      </c>
      <c r="D20" s="9" t="n">
        <v>10</v>
      </c>
      <c r="E20" s="9" t="s">
        <v>241</v>
      </c>
      <c r="F20" s="10" t="s">
        <v>27</v>
      </c>
      <c r="G20" s="9" t="s">
        <v>164</v>
      </c>
      <c r="H20" s="9" t="s">
        <v>31</v>
      </c>
      <c r="I20" s="10" t="s">
        <v>171</v>
      </c>
    </row>
    <row r="21" customFormat="false" ht="35.05" hidden="false" customHeight="false" outlineLevel="0" collapsed="false">
      <c r="A21" s="13" t="s">
        <v>205</v>
      </c>
      <c r="B21" s="14" t="s">
        <v>24</v>
      </c>
      <c r="C21" s="13" t="s">
        <v>206</v>
      </c>
      <c r="D21" s="14" t="n">
        <v>10</v>
      </c>
      <c r="E21" s="14" t="s">
        <v>241</v>
      </c>
      <c r="F21" s="13" t="s">
        <v>27</v>
      </c>
      <c r="G21" s="14" t="s">
        <v>27</v>
      </c>
      <c r="H21" s="14" t="s">
        <v>245</v>
      </c>
      <c r="I21" s="13" t="s">
        <v>208</v>
      </c>
    </row>
    <row r="22" customFormat="false" ht="35.05" hidden="false" customHeight="false" outlineLevel="0" collapsed="false">
      <c r="A22" s="8" t="s">
        <v>23</v>
      </c>
      <c r="B22" s="7" t="s">
        <v>24</v>
      </c>
      <c r="C22" s="8" t="s">
        <v>189</v>
      </c>
      <c r="D22" s="7" t="n">
        <v>10</v>
      </c>
      <c r="E22" s="7" t="s">
        <v>241</v>
      </c>
      <c r="F22" s="8" t="s">
        <v>27</v>
      </c>
      <c r="G22" s="7" t="s">
        <v>246</v>
      </c>
      <c r="H22" s="7" t="s">
        <v>25</v>
      </c>
      <c r="I22" s="8" t="s">
        <v>28</v>
      </c>
    </row>
    <row r="23" customFormat="false" ht="35.05" hidden="false" customHeight="false" outlineLevel="0" collapsed="false">
      <c r="A23" s="10" t="s">
        <v>155</v>
      </c>
      <c r="B23" s="9" t="s">
        <v>24</v>
      </c>
      <c r="C23" s="10" t="s">
        <v>189</v>
      </c>
      <c r="D23" s="9"/>
      <c r="E23" s="9" t="s">
        <v>241</v>
      </c>
      <c r="F23" s="10" t="s">
        <v>27</v>
      </c>
      <c r="G23" s="9" t="s">
        <v>253</v>
      </c>
      <c r="H23" s="9" t="s">
        <v>31</v>
      </c>
      <c r="I23" s="10" t="s">
        <v>157</v>
      </c>
    </row>
    <row r="24" customFormat="false" ht="35.05" hidden="false" customHeight="false" outlineLevel="0" collapsed="false">
      <c r="A24" s="13" t="s">
        <v>194</v>
      </c>
      <c r="B24" s="14" t="s">
        <v>24</v>
      </c>
      <c r="C24" s="13" t="s">
        <v>189</v>
      </c>
      <c r="D24" s="14"/>
      <c r="E24" s="14" t="s">
        <v>241</v>
      </c>
      <c r="F24" s="13" t="s">
        <v>27</v>
      </c>
      <c r="G24" s="14" t="s">
        <v>27</v>
      </c>
      <c r="H24" s="14" t="s">
        <v>245</v>
      </c>
      <c r="I24" s="13" t="s">
        <v>196</v>
      </c>
    </row>
    <row r="25" customFormat="false" ht="35.05" hidden="false" customHeight="false" outlineLevel="0" collapsed="false">
      <c r="A25" s="13" t="s">
        <v>202</v>
      </c>
      <c r="B25" s="14" t="s">
        <v>24</v>
      </c>
      <c r="C25" s="13" t="s">
        <v>189</v>
      </c>
      <c r="D25" s="14"/>
      <c r="E25" s="14" t="s">
        <v>244</v>
      </c>
      <c r="F25" s="13" t="s">
        <v>27</v>
      </c>
      <c r="G25" s="14" t="s">
        <v>27</v>
      </c>
      <c r="H25" s="14" t="s">
        <v>245</v>
      </c>
      <c r="I25" s="13" t="s">
        <v>204</v>
      </c>
    </row>
    <row r="26" customFormat="false" ht="35.05" hidden="false" customHeight="false" outlineLevel="0" collapsed="false">
      <c r="A26" s="13" t="s">
        <v>23</v>
      </c>
      <c r="B26" s="14" t="s">
        <v>30</v>
      </c>
      <c r="C26" s="13" t="s">
        <v>189</v>
      </c>
      <c r="D26" s="14" t="n">
        <v>10</v>
      </c>
      <c r="E26" s="14" t="s">
        <v>244</v>
      </c>
      <c r="F26" s="13" t="s">
        <v>27</v>
      </c>
      <c r="G26" s="14" t="s">
        <v>246</v>
      </c>
      <c r="H26" s="14" t="s">
        <v>245</v>
      </c>
      <c r="I26" s="13" t="s">
        <v>191</v>
      </c>
    </row>
    <row r="27" customFormat="false" ht="35.05" hidden="false" customHeight="false" outlineLevel="0" collapsed="false">
      <c r="A27" s="13" t="s">
        <v>155</v>
      </c>
      <c r="B27" s="14" t="s">
        <v>30</v>
      </c>
      <c r="C27" s="13" t="s">
        <v>189</v>
      </c>
      <c r="D27" s="14"/>
      <c r="E27" s="14" t="s">
        <v>244</v>
      </c>
      <c r="F27" s="13" t="s">
        <v>27</v>
      </c>
      <c r="G27" s="14" t="s">
        <v>253</v>
      </c>
      <c r="H27" s="14" t="s">
        <v>245</v>
      </c>
      <c r="I27" s="13" t="s">
        <v>193</v>
      </c>
    </row>
    <row r="28" customFormat="false" ht="35.05" hidden="false" customHeight="false" outlineLevel="0" collapsed="false">
      <c r="A28" s="13" t="s">
        <v>194</v>
      </c>
      <c r="B28" s="14" t="s">
        <v>30</v>
      </c>
      <c r="C28" s="13" t="s">
        <v>189</v>
      </c>
      <c r="D28" s="14"/>
      <c r="E28" s="14" t="s">
        <v>244</v>
      </c>
      <c r="F28" s="13" t="s">
        <v>27</v>
      </c>
      <c r="G28" s="14" t="s">
        <v>27</v>
      </c>
      <c r="H28" s="14" t="s">
        <v>245</v>
      </c>
      <c r="I28" s="13" t="s">
        <v>198</v>
      </c>
    </row>
    <row r="29" customFormat="false" ht="35.05" hidden="false" customHeight="false" outlineLevel="0" collapsed="false">
      <c r="A29" s="13" t="s">
        <v>199</v>
      </c>
      <c r="B29" s="14" t="s">
        <v>30</v>
      </c>
      <c r="C29" s="13" t="s">
        <v>189</v>
      </c>
      <c r="D29" s="14" t="n">
        <v>1</v>
      </c>
      <c r="E29" s="14" t="s">
        <v>244</v>
      </c>
      <c r="F29" s="13" t="s">
        <v>27</v>
      </c>
      <c r="G29" s="14" t="s">
        <v>27</v>
      </c>
      <c r="H29" s="14" t="s">
        <v>245</v>
      </c>
      <c r="I29" s="13" t="s">
        <v>201</v>
      </c>
    </row>
    <row r="30" customFormat="false" ht="35.05" hidden="false" customHeight="false" outlineLevel="0" collapsed="false">
      <c r="A30" s="10" t="s">
        <v>36</v>
      </c>
      <c r="B30" s="9" t="s">
        <v>30</v>
      </c>
      <c r="C30" s="10" t="s">
        <v>254</v>
      </c>
      <c r="D30" s="9" t="n">
        <v>10</v>
      </c>
      <c r="E30" s="9" t="s">
        <v>244</v>
      </c>
      <c r="F30" s="10" t="s">
        <v>27</v>
      </c>
      <c r="G30" s="9" t="s">
        <v>243</v>
      </c>
      <c r="H30" s="9" t="s">
        <v>31</v>
      </c>
      <c r="I30" s="10" t="s">
        <v>38</v>
      </c>
    </row>
    <row r="31" customFormat="false" ht="35.05" hidden="false" customHeight="false" outlineLevel="0" collapsed="false">
      <c r="A31" s="10" t="s">
        <v>45</v>
      </c>
      <c r="B31" s="9" t="s">
        <v>30</v>
      </c>
      <c r="C31" s="10" t="s">
        <v>254</v>
      </c>
      <c r="D31" s="9" t="n">
        <v>10</v>
      </c>
      <c r="E31" s="9" t="s">
        <v>244</v>
      </c>
      <c r="F31" s="10" t="s">
        <v>47</v>
      </c>
      <c r="G31" s="9" t="s">
        <v>252</v>
      </c>
      <c r="H31" s="9" t="s">
        <v>31</v>
      </c>
      <c r="I31" s="10" t="s">
        <v>48</v>
      </c>
    </row>
    <row r="32" customFormat="false" ht="35.05" hidden="false" customHeight="false" outlineLevel="0" collapsed="false">
      <c r="A32" s="10" t="s">
        <v>55</v>
      </c>
      <c r="B32" s="9" t="s">
        <v>30</v>
      </c>
      <c r="C32" s="10" t="s">
        <v>254</v>
      </c>
      <c r="D32" s="9" t="n">
        <v>10</v>
      </c>
      <c r="E32" s="9" t="s">
        <v>244</v>
      </c>
      <c r="F32" s="10" t="s">
        <v>27</v>
      </c>
      <c r="G32" s="9" t="s">
        <v>255</v>
      </c>
      <c r="H32" s="9" t="s">
        <v>31</v>
      </c>
      <c r="I32" s="10" t="s">
        <v>57</v>
      </c>
    </row>
    <row r="33" customFormat="false" ht="35.05" hidden="false" customHeight="false" outlineLevel="0" collapsed="false">
      <c r="A33" s="10" t="s">
        <v>66</v>
      </c>
      <c r="B33" s="9" t="s">
        <v>30</v>
      </c>
      <c r="C33" s="10" t="s">
        <v>254</v>
      </c>
      <c r="D33" s="9" t="n">
        <v>10</v>
      </c>
      <c r="E33" s="9" t="s">
        <v>244</v>
      </c>
      <c r="F33" s="10" t="s">
        <v>27</v>
      </c>
      <c r="G33" s="9" t="s">
        <v>256</v>
      </c>
      <c r="H33" s="9" t="s">
        <v>31</v>
      </c>
      <c r="I33" s="10" t="s">
        <v>68</v>
      </c>
    </row>
    <row r="34" customFormat="false" ht="35.05" hidden="false" customHeight="false" outlineLevel="0" collapsed="false">
      <c r="A34" s="8" t="s">
        <v>58</v>
      </c>
      <c r="B34" s="7" t="s">
        <v>24</v>
      </c>
      <c r="C34" s="8" t="s">
        <v>257</v>
      </c>
      <c r="D34" s="7" t="n">
        <v>10</v>
      </c>
      <c r="E34" s="7" t="s">
        <v>241</v>
      </c>
      <c r="F34" s="8" t="s">
        <v>27</v>
      </c>
      <c r="G34" s="7" t="s">
        <v>255</v>
      </c>
      <c r="H34" s="7" t="s">
        <v>25</v>
      </c>
      <c r="I34" s="8" t="s">
        <v>60</v>
      </c>
    </row>
    <row r="35" customFormat="false" ht="35.05" hidden="false" customHeight="false" outlineLevel="0" collapsed="false">
      <c r="A35" s="10" t="s">
        <v>158</v>
      </c>
      <c r="B35" s="9" t="s">
        <v>24</v>
      </c>
      <c r="C35" s="10" t="s">
        <v>257</v>
      </c>
      <c r="D35" s="9" t="n">
        <v>10</v>
      </c>
      <c r="E35" s="9" t="s">
        <v>241</v>
      </c>
      <c r="F35" s="10" t="s">
        <v>27</v>
      </c>
      <c r="G35" s="9" t="s">
        <v>253</v>
      </c>
      <c r="H35" s="9" t="s">
        <v>31</v>
      </c>
      <c r="I35" s="10" t="s">
        <v>160</v>
      </c>
    </row>
    <row r="36" customFormat="false" ht="35.05" hidden="false" customHeight="false" outlineLevel="0" collapsed="false">
      <c r="A36" s="8" t="s">
        <v>61</v>
      </c>
      <c r="B36" s="7" t="s">
        <v>30</v>
      </c>
      <c r="C36" s="8" t="s">
        <v>257</v>
      </c>
      <c r="D36" s="7" t="n">
        <v>10</v>
      </c>
      <c r="E36" s="7" t="s">
        <v>241</v>
      </c>
      <c r="F36" s="8" t="s">
        <v>27</v>
      </c>
      <c r="G36" s="7" t="s">
        <v>255</v>
      </c>
      <c r="H36" s="7" t="s">
        <v>25</v>
      </c>
      <c r="I36" s="8" t="s">
        <v>63</v>
      </c>
    </row>
    <row r="37" customFormat="false" ht="35.05" hidden="false" customHeight="false" outlineLevel="0" collapsed="false">
      <c r="A37" s="10" t="s">
        <v>161</v>
      </c>
      <c r="B37" s="9" t="s">
        <v>30</v>
      </c>
      <c r="C37" s="10" t="s">
        <v>257</v>
      </c>
      <c r="D37" s="9" t="n">
        <v>10</v>
      </c>
      <c r="E37" s="9" t="s">
        <v>241</v>
      </c>
      <c r="F37" s="10" t="s">
        <v>27</v>
      </c>
      <c r="G37" s="9" t="s">
        <v>253</v>
      </c>
      <c r="H37" s="9" t="s">
        <v>31</v>
      </c>
      <c r="I37" s="10" t="s">
        <v>163</v>
      </c>
    </row>
    <row r="38" customFormat="false" ht="35.05" hidden="false" customHeight="false" outlineLevel="0" collapsed="false">
      <c r="A38" s="8" t="s">
        <v>110</v>
      </c>
      <c r="B38" s="7" t="s">
        <v>24</v>
      </c>
      <c r="C38" s="8" t="s">
        <v>226</v>
      </c>
      <c r="D38" s="7" t="n">
        <v>10</v>
      </c>
      <c r="E38" s="7" t="s">
        <v>241</v>
      </c>
      <c r="F38" s="8" t="s">
        <v>112</v>
      </c>
      <c r="G38" s="7" t="s">
        <v>258</v>
      </c>
      <c r="H38" s="7" t="s">
        <v>25</v>
      </c>
      <c r="I38" s="8" t="s">
        <v>113</v>
      </c>
    </row>
    <row r="39" customFormat="false" ht="35.05" hidden="false" customHeight="false" outlineLevel="0" collapsed="false">
      <c r="A39" s="8" t="s">
        <v>114</v>
      </c>
      <c r="B39" s="7" t="s">
        <v>24</v>
      </c>
      <c r="C39" s="8" t="s">
        <v>226</v>
      </c>
      <c r="D39" s="7" t="n">
        <v>10</v>
      </c>
      <c r="E39" s="7" t="s">
        <v>241</v>
      </c>
      <c r="F39" s="8" t="s">
        <v>116</v>
      </c>
      <c r="G39" s="7" t="s">
        <v>258</v>
      </c>
      <c r="H39" s="7" t="s">
        <v>25</v>
      </c>
      <c r="I39" s="8" t="s">
        <v>117</v>
      </c>
    </row>
    <row r="40" customFormat="false" ht="35.05" hidden="false" customHeight="false" outlineLevel="0" collapsed="false">
      <c r="A40" s="10" t="s">
        <v>118</v>
      </c>
      <c r="B40" s="9" t="s">
        <v>24</v>
      </c>
      <c r="C40" s="10" t="s">
        <v>226</v>
      </c>
      <c r="D40" s="9" t="n">
        <v>10</v>
      </c>
      <c r="E40" s="9" t="s">
        <v>241</v>
      </c>
      <c r="F40" s="10" t="s">
        <v>27</v>
      </c>
      <c r="G40" s="9" t="s">
        <v>258</v>
      </c>
      <c r="H40" s="9" t="s">
        <v>31</v>
      </c>
      <c r="I40" s="10" t="s">
        <v>120</v>
      </c>
    </row>
    <row r="41" customFormat="false" ht="35.05" hidden="false" customHeight="false" outlineLevel="0" collapsed="false">
      <c r="A41" s="13" t="s">
        <v>225</v>
      </c>
      <c r="B41" s="14" t="s">
        <v>30</v>
      </c>
      <c r="C41" s="13" t="s">
        <v>226</v>
      </c>
      <c r="D41" s="14" t="n">
        <v>10</v>
      </c>
      <c r="E41" s="14" t="s">
        <v>244</v>
      </c>
      <c r="F41" s="13" t="s">
        <v>112</v>
      </c>
      <c r="G41" s="14" t="s">
        <v>258</v>
      </c>
      <c r="H41" s="14" t="s">
        <v>245</v>
      </c>
      <c r="I41" s="13" t="s">
        <v>228</v>
      </c>
    </row>
    <row r="42" customFormat="false" ht="35.05" hidden="false" customHeight="false" outlineLevel="0" collapsed="false">
      <c r="A42" s="10" t="s">
        <v>121</v>
      </c>
      <c r="B42" s="9" t="s">
        <v>30</v>
      </c>
      <c r="C42" s="10" t="s">
        <v>226</v>
      </c>
      <c r="D42" s="9" t="n">
        <v>10</v>
      </c>
      <c r="E42" s="9" t="s">
        <v>244</v>
      </c>
      <c r="F42" s="10" t="s">
        <v>27</v>
      </c>
      <c r="G42" s="9" t="s">
        <v>258</v>
      </c>
      <c r="H42" s="9" t="s">
        <v>31</v>
      </c>
      <c r="I42" s="10" t="s">
        <v>123</v>
      </c>
    </row>
    <row r="43" customFormat="false" ht="35.05" hidden="false" customHeight="false" outlineLevel="0" collapsed="false">
      <c r="A43" s="10" t="s">
        <v>124</v>
      </c>
      <c r="B43" s="9" t="s">
        <v>30</v>
      </c>
      <c r="C43" s="10" t="s">
        <v>226</v>
      </c>
      <c r="D43" s="9" t="n">
        <v>10</v>
      </c>
      <c r="E43" s="9" t="s">
        <v>244</v>
      </c>
      <c r="F43" s="10" t="s">
        <v>27</v>
      </c>
      <c r="G43" s="9" t="s">
        <v>258</v>
      </c>
      <c r="H43" s="9" t="s">
        <v>31</v>
      </c>
      <c r="I43" s="10" t="s">
        <v>126</v>
      </c>
    </row>
    <row r="44" customFormat="false" ht="35.05" hidden="false" customHeight="false" outlineLevel="0" collapsed="false">
      <c r="A44" s="10" t="s">
        <v>127</v>
      </c>
      <c r="B44" s="9" t="s">
        <v>30</v>
      </c>
      <c r="C44" s="10" t="s">
        <v>226</v>
      </c>
      <c r="D44" s="9" t="n">
        <v>10</v>
      </c>
      <c r="E44" s="9" t="s">
        <v>244</v>
      </c>
      <c r="F44" s="10" t="s">
        <v>27</v>
      </c>
      <c r="G44" s="9" t="s">
        <v>258</v>
      </c>
      <c r="H44" s="9" t="s">
        <v>31</v>
      </c>
      <c r="I44" s="10" t="s">
        <v>129</v>
      </c>
    </row>
    <row r="45" customFormat="false" ht="35.05" hidden="false" customHeight="false" outlineLevel="0" collapsed="false">
      <c r="A45" s="8" t="s">
        <v>141</v>
      </c>
      <c r="B45" s="7" t="s">
        <v>24</v>
      </c>
      <c r="C45" s="8" t="s">
        <v>259</v>
      </c>
      <c r="D45" s="7" t="n">
        <v>10</v>
      </c>
      <c r="E45" s="7" t="s">
        <v>241</v>
      </c>
      <c r="F45" s="8" t="s">
        <v>27</v>
      </c>
      <c r="G45" s="7" t="s">
        <v>260</v>
      </c>
      <c r="H45" s="7" t="s">
        <v>25</v>
      </c>
      <c r="I45" s="8" t="s">
        <v>143</v>
      </c>
    </row>
    <row r="46" customFormat="false" ht="35.05" hidden="false" customHeight="false" outlineLevel="0" collapsed="false">
      <c r="A46" s="10" t="s">
        <v>144</v>
      </c>
      <c r="B46" s="9" t="s">
        <v>30</v>
      </c>
      <c r="C46" s="10" t="s">
        <v>259</v>
      </c>
      <c r="D46" s="9" t="n">
        <v>10</v>
      </c>
      <c r="E46" s="9" t="s">
        <v>244</v>
      </c>
      <c r="F46" s="10" t="s">
        <v>27</v>
      </c>
      <c r="G46" s="9" t="s">
        <v>260</v>
      </c>
      <c r="H46" s="9" t="s">
        <v>31</v>
      </c>
      <c r="I46" s="10" t="s">
        <v>146</v>
      </c>
    </row>
    <row r="47" customFormat="false" ht="35.05" hidden="false" customHeight="false" outlineLevel="0" collapsed="false">
      <c r="A47" s="8" t="s">
        <v>76</v>
      </c>
      <c r="B47" s="7" t="s">
        <v>24</v>
      </c>
      <c r="C47" s="8" t="s">
        <v>213</v>
      </c>
      <c r="D47" s="7" t="n">
        <v>10</v>
      </c>
      <c r="E47" s="7" t="s">
        <v>241</v>
      </c>
      <c r="F47" s="8" t="s">
        <v>78</v>
      </c>
      <c r="G47" s="7" t="s">
        <v>261</v>
      </c>
      <c r="H47" s="7" t="s">
        <v>25</v>
      </c>
      <c r="I47" s="8" t="s">
        <v>79</v>
      </c>
    </row>
    <row r="48" customFormat="false" ht="35.05" hidden="false" customHeight="false" outlineLevel="0" collapsed="false">
      <c r="A48" s="8" t="s">
        <v>80</v>
      </c>
      <c r="B48" s="7" t="s">
        <v>24</v>
      </c>
      <c r="C48" s="8" t="s">
        <v>213</v>
      </c>
      <c r="D48" s="7" t="n">
        <v>10</v>
      </c>
      <c r="E48" s="7" t="s">
        <v>241</v>
      </c>
      <c r="F48" s="8" t="s">
        <v>82</v>
      </c>
      <c r="G48" s="7" t="s">
        <v>261</v>
      </c>
      <c r="H48" s="7" t="s">
        <v>25</v>
      </c>
      <c r="I48" s="8" t="s">
        <v>83</v>
      </c>
    </row>
    <row r="49" customFormat="false" ht="35.05" hidden="false" customHeight="false" outlineLevel="0" collapsed="false">
      <c r="A49" s="8" t="s">
        <v>84</v>
      </c>
      <c r="B49" s="7" t="s">
        <v>24</v>
      </c>
      <c r="C49" s="8" t="s">
        <v>213</v>
      </c>
      <c r="D49" s="7" t="n">
        <v>10</v>
      </c>
      <c r="E49" s="7" t="s">
        <v>241</v>
      </c>
      <c r="F49" s="8" t="s">
        <v>86</v>
      </c>
      <c r="G49" s="7" t="s">
        <v>261</v>
      </c>
      <c r="H49" s="7" t="s">
        <v>25</v>
      </c>
      <c r="I49" s="8" t="s">
        <v>87</v>
      </c>
    </row>
    <row r="50" customFormat="false" ht="35.05" hidden="false" customHeight="false" outlineLevel="0" collapsed="false">
      <c r="A50" s="10" t="s">
        <v>93</v>
      </c>
      <c r="B50" s="9" t="s">
        <v>24</v>
      </c>
      <c r="C50" s="10" t="s">
        <v>213</v>
      </c>
      <c r="D50" s="9" t="n">
        <v>10</v>
      </c>
      <c r="E50" s="9" t="s">
        <v>241</v>
      </c>
      <c r="F50" s="10" t="s">
        <v>27</v>
      </c>
      <c r="G50" s="9" t="s">
        <v>250</v>
      </c>
      <c r="H50" s="9" t="s">
        <v>31</v>
      </c>
      <c r="I50" s="10" t="s">
        <v>95</v>
      </c>
    </row>
    <row r="51" customFormat="false" ht="35.05" hidden="false" customHeight="false" outlineLevel="0" collapsed="false">
      <c r="A51" s="13" t="s">
        <v>76</v>
      </c>
      <c r="B51" s="14" t="s">
        <v>30</v>
      </c>
      <c r="C51" s="13" t="s">
        <v>213</v>
      </c>
      <c r="D51" s="14" t="n">
        <v>10</v>
      </c>
      <c r="E51" s="14" t="s">
        <v>244</v>
      </c>
      <c r="F51" s="13" t="s">
        <v>78</v>
      </c>
      <c r="G51" s="14" t="s">
        <v>261</v>
      </c>
      <c r="H51" s="14" t="s">
        <v>245</v>
      </c>
      <c r="I51" s="13" t="s">
        <v>215</v>
      </c>
    </row>
    <row r="52" customFormat="false" ht="35.05" hidden="false" customHeight="false" outlineLevel="0" collapsed="false">
      <c r="A52" s="13" t="s">
        <v>216</v>
      </c>
      <c r="B52" s="14" t="s">
        <v>30</v>
      </c>
      <c r="C52" s="13" t="s">
        <v>213</v>
      </c>
      <c r="D52" s="14" t="n">
        <v>10</v>
      </c>
      <c r="E52" s="14" t="s">
        <v>244</v>
      </c>
      <c r="F52" s="13" t="s">
        <v>262</v>
      </c>
      <c r="G52" s="14" t="s">
        <v>261</v>
      </c>
      <c r="H52" s="14" t="s">
        <v>245</v>
      </c>
      <c r="I52" s="13" t="s">
        <v>218</v>
      </c>
    </row>
    <row r="53" customFormat="false" ht="35.05" hidden="false" customHeight="false" outlineLevel="0" collapsed="false">
      <c r="A53" s="13" t="s">
        <v>219</v>
      </c>
      <c r="B53" s="14" t="s">
        <v>30</v>
      </c>
      <c r="C53" s="13" t="s">
        <v>213</v>
      </c>
      <c r="D53" s="14" t="n">
        <v>10</v>
      </c>
      <c r="E53" s="14" t="s">
        <v>244</v>
      </c>
      <c r="F53" s="13" t="s">
        <v>86</v>
      </c>
      <c r="G53" s="14" t="s">
        <v>261</v>
      </c>
      <c r="H53" s="14" t="s">
        <v>245</v>
      </c>
      <c r="I53" s="13" t="s">
        <v>221</v>
      </c>
    </row>
    <row r="54" customFormat="false" ht="35.05" hidden="false" customHeight="false" outlineLevel="0" collapsed="false">
      <c r="A54" s="10" t="s">
        <v>88</v>
      </c>
      <c r="B54" s="9" t="s">
        <v>30</v>
      </c>
      <c r="C54" s="10" t="s">
        <v>213</v>
      </c>
      <c r="D54" s="9" t="n">
        <v>10</v>
      </c>
      <c r="E54" s="9" t="s">
        <v>244</v>
      </c>
      <c r="F54" s="10" t="s">
        <v>27</v>
      </c>
      <c r="G54" s="9" t="s">
        <v>261</v>
      </c>
      <c r="H54" s="9" t="s">
        <v>31</v>
      </c>
      <c r="I54" s="10" t="s">
        <v>90</v>
      </c>
    </row>
  </sheetData>
  <autoFilter ref="A1:I5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2026-08-17T04:07:33Z</dcterms:created>
  <dc:creator>openpyxl</dc:creator>
  <dc:description/>
  <dc:language>en-US</dc:language>
  <cp:lastModifiedBy/>
  <dcterms:modified xsi:type="dcterms:W3CDTF">2026-08-17T04:07:34Z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